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llow\Desktop\毕业设计\待整理\"/>
    </mc:Choice>
  </mc:AlternateContent>
  <xr:revisionPtr revIDLastSave="0" documentId="13_ncr:1_{D3DC7877-E6D5-4613-B5AC-3C4C4781B1FF}" xr6:coauthVersionLast="47" xr6:coauthVersionMax="47" xr10:uidLastSave="{00000000-0000-0000-0000-000000000000}"/>
  <bookViews>
    <workbookView xWindow="-120" yWindow="-120" windowWidth="38640" windowHeight="21120" activeTab="2" xr2:uid="{E1060C15-58C3-498C-8CEF-B7A918CECDC8}"/>
  </bookViews>
  <sheets>
    <sheet name="Sheet1 (3)" sheetId="4" r:id="rId1"/>
    <sheet name="Sheet1 (2)" sheetId="3" r:id="rId2"/>
    <sheet name="Sheet3" sheetId="6" r:id="rId3"/>
    <sheet name="Sheet2" sheetId="5" r:id="rId4"/>
    <sheet name="Sheet1" sheetId="1" r:id="rId5"/>
  </sheets>
  <definedNames>
    <definedName name="_xlnm._FilterDatabase" localSheetId="4" hidden="1">Sheet1!$B$1:$AF$1</definedName>
    <definedName name="_xlnm._FilterDatabase" localSheetId="1" hidden="1">'Sheet1 (2)'!$B$1:$X$1</definedName>
    <definedName name="_xlnm._FilterDatabase" localSheetId="0" hidden="1">'Sheet1 (3)'!$B$1:$R$1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E11" i="6"/>
  <c r="E15" i="6"/>
  <c r="E18" i="6"/>
  <c r="E19" i="6"/>
  <c r="E20" i="6"/>
  <c r="E21" i="6"/>
  <c r="E22" i="6"/>
  <c r="E23" i="6"/>
  <c r="E24" i="6"/>
  <c r="E26" i="6"/>
  <c r="D11" i="6"/>
  <c r="D12" i="6"/>
  <c r="D13" i="6"/>
  <c r="D14" i="6"/>
  <c r="D15" i="6"/>
  <c r="D16" i="6"/>
  <c r="D17" i="6"/>
  <c r="D18" i="6"/>
  <c r="D19" i="6"/>
  <c r="D23" i="6"/>
  <c r="D24" i="6"/>
  <c r="C33" i="6"/>
  <c r="E33" i="6" s="1"/>
  <c r="C32" i="6"/>
  <c r="E32" i="6" s="1"/>
  <c r="C31" i="6"/>
  <c r="E31" i="6" s="1"/>
  <c r="C30" i="6"/>
  <c r="E30" i="6" s="1"/>
  <c r="C29" i="6"/>
  <c r="E29" i="6" s="1"/>
  <c r="C28" i="6"/>
  <c r="E28" i="6" s="1"/>
  <c r="C27" i="6"/>
  <c r="E27" i="6" s="1"/>
  <c r="C26" i="6"/>
  <c r="D26" i="6" s="1"/>
  <c r="C25" i="6"/>
  <c r="E25" i="6" s="1"/>
  <c r="C24" i="6"/>
  <c r="C23" i="6"/>
  <c r="C22" i="6"/>
  <c r="D22" i="6" s="1"/>
  <c r="C21" i="6"/>
  <c r="D21" i="6" s="1"/>
  <c r="C20" i="6"/>
  <c r="D20" i="6" s="1"/>
  <c r="C19" i="6"/>
  <c r="C18" i="6"/>
  <c r="C17" i="6"/>
  <c r="E17" i="6" s="1"/>
  <c r="C16" i="6"/>
  <c r="E16" i="6" s="1"/>
  <c r="C15" i="6"/>
  <c r="C14" i="6"/>
  <c r="E14" i="6" s="1"/>
  <c r="C13" i="6"/>
  <c r="E13" i="6" s="1"/>
  <c r="C12" i="6"/>
  <c r="E12" i="6" s="1"/>
  <c r="C11" i="6"/>
  <c r="C10" i="6"/>
  <c r="E10" i="6" s="1"/>
  <c r="C9" i="6"/>
  <c r="E9" i="6" s="1"/>
  <c r="C8" i="6"/>
  <c r="E8" i="6" s="1"/>
  <c r="C7" i="6"/>
  <c r="E7" i="6" s="1"/>
  <c r="C6" i="6"/>
  <c r="E6" i="6" s="1"/>
  <c r="C5" i="6"/>
  <c r="E5" i="6" s="1"/>
  <c r="C4" i="6"/>
  <c r="E4" i="6" s="1"/>
  <c r="C3" i="6"/>
  <c r="F3" i="6" s="1"/>
  <c r="B8" i="5"/>
  <c r="B9" i="5"/>
  <c r="B10" i="5"/>
  <c r="B11" i="5"/>
  <c r="B12" i="5"/>
  <c r="B13" i="5"/>
  <c r="B14" i="5"/>
  <c r="B15" i="5"/>
  <c r="B7" i="5"/>
  <c r="G3" i="4"/>
  <c r="H9" i="4"/>
  <c r="H10" i="4"/>
  <c r="H11" i="4"/>
  <c r="H12" i="4"/>
  <c r="H13" i="4"/>
  <c r="H14" i="4"/>
  <c r="H15" i="4"/>
  <c r="H22" i="4"/>
  <c r="H23" i="4"/>
  <c r="H24" i="4"/>
  <c r="H25" i="4"/>
  <c r="H26" i="4"/>
  <c r="E32" i="4"/>
  <c r="P32" i="4" s="1"/>
  <c r="E31" i="4"/>
  <c r="M31" i="4" s="1"/>
  <c r="E30" i="4"/>
  <c r="F30" i="4" s="1"/>
  <c r="E29" i="4"/>
  <c r="P29" i="4" s="1"/>
  <c r="E28" i="4"/>
  <c r="P28" i="4" s="1"/>
  <c r="E27" i="4"/>
  <c r="I27" i="4" s="1"/>
  <c r="E26" i="4"/>
  <c r="P26" i="4" s="1"/>
  <c r="E25" i="4"/>
  <c r="P25" i="4" s="1"/>
  <c r="E24" i="4"/>
  <c r="P24" i="4" s="1"/>
  <c r="E23" i="4"/>
  <c r="K23" i="4" s="1"/>
  <c r="E22" i="4"/>
  <c r="M22" i="4" s="1"/>
  <c r="E21" i="4"/>
  <c r="F21" i="4" s="1"/>
  <c r="E20" i="4"/>
  <c r="P20" i="4" s="1"/>
  <c r="E19" i="4"/>
  <c r="P19" i="4" s="1"/>
  <c r="E18" i="4"/>
  <c r="M18" i="4" s="1"/>
  <c r="E17" i="4"/>
  <c r="F17" i="4" s="1"/>
  <c r="E16" i="4"/>
  <c r="P16" i="4" s="1"/>
  <c r="E15" i="4"/>
  <c r="P15" i="4" s="1"/>
  <c r="E14" i="4"/>
  <c r="O14" i="4" s="1"/>
  <c r="E13" i="4"/>
  <c r="F13" i="4" s="1"/>
  <c r="E12" i="4"/>
  <c r="P12" i="4" s="1"/>
  <c r="E11" i="4"/>
  <c r="P11" i="4" s="1"/>
  <c r="E10" i="4"/>
  <c r="L10" i="4" s="1"/>
  <c r="E9" i="4"/>
  <c r="F9" i="4" s="1"/>
  <c r="E8" i="4"/>
  <c r="P8" i="4" s="1"/>
  <c r="E7" i="4"/>
  <c r="P7" i="4" s="1"/>
  <c r="E6" i="4"/>
  <c r="L6" i="4" s="1"/>
  <c r="E5" i="4"/>
  <c r="F5" i="4" s="1"/>
  <c r="E4" i="4"/>
  <c r="P4" i="4" s="1"/>
  <c r="E3" i="4"/>
  <c r="P3" i="4" s="1"/>
  <c r="E2" i="4"/>
  <c r="L2" i="4" s="1"/>
  <c r="H40" i="3"/>
  <c r="I40" i="3"/>
  <c r="J40" i="3"/>
  <c r="K40" i="3"/>
  <c r="L40" i="3"/>
  <c r="M40" i="3"/>
  <c r="H39" i="3"/>
  <c r="I39" i="3"/>
  <c r="J39" i="3"/>
  <c r="K39" i="3"/>
  <c r="L39" i="3"/>
  <c r="M39" i="3"/>
  <c r="H38" i="3"/>
  <c r="I38" i="3"/>
  <c r="J38" i="3"/>
  <c r="K38" i="3"/>
  <c r="L38" i="3"/>
  <c r="M38" i="3"/>
  <c r="H37" i="3"/>
  <c r="I37" i="3"/>
  <c r="J37" i="3"/>
  <c r="K37" i="3"/>
  <c r="L37" i="3"/>
  <c r="M37" i="3"/>
  <c r="H36" i="3"/>
  <c r="I36" i="3"/>
  <c r="J36" i="3"/>
  <c r="K36" i="3"/>
  <c r="L36" i="3"/>
  <c r="M36" i="3"/>
  <c r="G40" i="3"/>
  <c r="G39" i="3"/>
  <c r="G38" i="3"/>
  <c r="G37" i="3"/>
  <c r="G36" i="3"/>
  <c r="G35" i="3"/>
  <c r="M42" i="3"/>
  <c r="H42" i="3"/>
  <c r="I42" i="3"/>
  <c r="J42" i="3"/>
  <c r="K42" i="3"/>
  <c r="L42" i="3"/>
  <c r="G42" i="3"/>
  <c r="H34" i="3"/>
  <c r="I34" i="3"/>
  <c r="J34" i="3"/>
  <c r="K34" i="3"/>
  <c r="L34" i="3"/>
  <c r="M34" i="3"/>
  <c r="G34" i="3"/>
  <c r="X32" i="3"/>
  <c r="W32" i="3"/>
  <c r="V32" i="3"/>
  <c r="U32" i="3"/>
  <c r="T32" i="3"/>
  <c r="S32" i="3"/>
  <c r="R32" i="3"/>
  <c r="Q32" i="3"/>
  <c r="P32" i="3"/>
  <c r="E32" i="3"/>
  <c r="F32" i="3" s="1"/>
  <c r="X31" i="3"/>
  <c r="W31" i="3"/>
  <c r="V31" i="3"/>
  <c r="U31" i="3"/>
  <c r="T31" i="3"/>
  <c r="S31" i="3"/>
  <c r="R31" i="3"/>
  <c r="Q31" i="3"/>
  <c r="P31" i="3"/>
  <c r="E31" i="3"/>
  <c r="H31" i="3" s="1"/>
  <c r="X30" i="3"/>
  <c r="W30" i="3"/>
  <c r="V30" i="3"/>
  <c r="U30" i="3"/>
  <c r="T30" i="3"/>
  <c r="S30" i="3"/>
  <c r="R30" i="3"/>
  <c r="Q30" i="3"/>
  <c r="P30" i="3"/>
  <c r="E30" i="3"/>
  <c r="J30" i="3" s="1"/>
  <c r="X29" i="3"/>
  <c r="W29" i="3"/>
  <c r="V29" i="3"/>
  <c r="U29" i="3"/>
  <c r="T29" i="3"/>
  <c r="S29" i="3"/>
  <c r="R29" i="3"/>
  <c r="Q29" i="3"/>
  <c r="P29" i="3"/>
  <c r="E29" i="3"/>
  <c r="M29" i="3" s="1"/>
  <c r="X28" i="3"/>
  <c r="W28" i="3"/>
  <c r="V28" i="3"/>
  <c r="U28" i="3"/>
  <c r="T28" i="3"/>
  <c r="S28" i="3"/>
  <c r="R28" i="3"/>
  <c r="Q28" i="3"/>
  <c r="P28" i="3"/>
  <c r="E28" i="3"/>
  <c r="F28" i="3" s="1"/>
  <c r="X27" i="3"/>
  <c r="W27" i="3"/>
  <c r="V27" i="3"/>
  <c r="U27" i="3"/>
  <c r="T27" i="3"/>
  <c r="S27" i="3"/>
  <c r="R27" i="3"/>
  <c r="Q27" i="3"/>
  <c r="P27" i="3"/>
  <c r="E27" i="3"/>
  <c r="H27" i="3" s="1"/>
  <c r="X26" i="3"/>
  <c r="W26" i="3"/>
  <c r="V26" i="3"/>
  <c r="U26" i="3"/>
  <c r="T26" i="3"/>
  <c r="S26" i="3"/>
  <c r="R26" i="3"/>
  <c r="Q26" i="3"/>
  <c r="P26" i="3"/>
  <c r="E26" i="3"/>
  <c r="K26" i="3" s="1"/>
  <c r="X25" i="3"/>
  <c r="W25" i="3"/>
  <c r="V25" i="3"/>
  <c r="U25" i="3"/>
  <c r="T25" i="3"/>
  <c r="S25" i="3"/>
  <c r="R25" i="3"/>
  <c r="Q25" i="3"/>
  <c r="P25" i="3"/>
  <c r="E25" i="3"/>
  <c r="N25" i="3" s="1"/>
  <c r="X24" i="3"/>
  <c r="W24" i="3"/>
  <c r="V24" i="3"/>
  <c r="U24" i="3"/>
  <c r="T24" i="3"/>
  <c r="S24" i="3"/>
  <c r="R24" i="3"/>
  <c r="Q24" i="3"/>
  <c r="P24" i="3"/>
  <c r="E24" i="3"/>
  <c r="I24" i="3" s="1"/>
  <c r="X23" i="3"/>
  <c r="W23" i="3"/>
  <c r="V23" i="3"/>
  <c r="U23" i="3"/>
  <c r="T23" i="3"/>
  <c r="S23" i="3"/>
  <c r="R23" i="3"/>
  <c r="Q23" i="3"/>
  <c r="P23" i="3"/>
  <c r="E23" i="3"/>
  <c r="L23" i="3" s="1"/>
  <c r="X22" i="3"/>
  <c r="W22" i="3"/>
  <c r="V22" i="3"/>
  <c r="U22" i="3"/>
  <c r="T22" i="3"/>
  <c r="S22" i="3"/>
  <c r="R22" i="3"/>
  <c r="Q22" i="3"/>
  <c r="P22" i="3"/>
  <c r="E22" i="3"/>
  <c r="G22" i="3" s="1"/>
  <c r="X21" i="3"/>
  <c r="W21" i="3"/>
  <c r="V21" i="3"/>
  <c r="U21" i="3"/>
  <c r="T21" i="3"/>
  <c r="S21" i="3"/>
  <c r="R21" i="3"/>
  <c r="Q21" i="3"/>
  <c r="P21" i="3"/>
  <c r="E21" i="3"/>
  <c r="J21" i="3" s="1"/>
  <c r="X20" i="3"/>
  <c r="W20" i="3"/>
  <c r="V20" i="3"/>
  <c r="U20" i="3"/>
  <c r="T20" i="3"/>
  <c r="S20" i="3"/>
  <c r="R20" i="3"/>
  <c r="Q20" i="3"/>
  <c r="P20" i="3"/>
  <c r="E20" i="3"/>
  <c r="M20" i="3" s="1"/>
  <c r="X19" i="3"/>
  <c r="W19" i="3"/>
  <c r="V19" i="3"/>
  <c r="U19" i="3"/>
  <c r="T19" i="3"/>
  <c r="S19" i="3"/>
  <c r="R19" i="3"/>
  <c r="Q19" i="3"/>
  <c r="P19" i="3"/>
  <c r="E19" i="3"/>
  <c r="N19" i="3" s="1"/>
  <c r="X18" i="3"/>
  <c r="W18" i="3"/>
  <c r="V18" i="3"/>
  <c r="U18" i="3"/>
  <c r="T18" i="3"/>
  <c r="S18" i="3"/>
  <c r="R18" i="3"/>
  <c r="Q18" i="3"/>
  <c r="P18" i="3"/>
  <c r="M18" i="3"/>
  <c r="F18" i="3"/>
  <c r="E18" i="3"/>
  <c r="G18" i="3" s="1"/>
  <c r="X17" i="3"/>
  <c r="W17" i="3"/>
  <c r="V17" i="3"/>
  <c r="U17" i="3"/>
  <c r="T17" i="3"/>
  <c r="S17" i="3"/>
  <c r="R17" i="3"/>
  <c r="Q17" i="3"/>
  <c r="P17" i="3"/>
  <c r="E17" i="3"/>
  <c r="J17" i="3" s="1"/>
  <c r="X16" i="3"/>
  <c r="W16" i="3"/>
  <c r="V16" i="3"/>
  <c r="U16" i="3"/>
  <c r="T16" i="3"/>
  <c r="S16" i="3"/>
  <c r="R16" i="3"/>
  <c r="Q16" i="3"/>
  <c r="P16" i="3"/>
  <c r="E16" i="3"/>
  <c r="M16" i="3" s="1"/>
  <c r="X15" i="3"/>
  <c r="W15" i="3"/>
  <c r="V15" i="3"/>
  <c r="U15" i="3"/>
  <c r="T15" i="3"/>
  <c r="S15" i="3"/>
  <c r="R15" i="3"/>
  <c r="Q15" i="3"/>
  <c r="P15" i="3"/>
  <c r="E15" i="3"/>
  <c r="F15" i="3" s="1"/>
  <c r="X14" i="3"/>
  <c r="W14" i="3"/>
  <c r="V14" i="3"/>
  <c r="U14" i="3"/>
  <c r="T14" i="3"/>
  <c r="S14" i="3"/>
  <c r="R14" i="3"/>
  <c r="Q14" i="3"/>
  <c r="P14" i="3"/>
  <c r="E14" i="3"/>
  <c r="H14" i="3" s="1"/>
  <c r="X13" i="3"/>
  <c r="W13" i="3"/>
  <c r="V13" i="3"/>
  <c r="U13" i="3"/>
  <c r="T13" i="3"/>
  <c r="S13" i="3"/>
  <c r="R13" i="3"/>
  <c r="Q13" i="3"/>
  <c r="P13" i="3"/>
  <c r="E13" i="3"/>
  <c r="J13" i="3" s="1"/>
  <c r="X12" i="3"/>
  <c r="W12" i="3"/>
  <c r="V12" i="3"/>
  <c r="U12" i="3"/>
  <c r="T12" i="3"/>
  <c r="S12" i="3"/>
  <c r="R12" i="3"/>
  <c r="Q12" i="3"/>
  <c r="P12" i="3"/>
  <c r="E12" i="3"/>
  <c r="M12" i="3" s="1"/>
  <c r="X11" i="3"/>
  <c r="W11" i="3"/>
  <c r="V11" i="3"/>
  <c r="U11" i="3"/>
  <c r="T11" i="3"/>
  <c r="S11" i="3"/>
  <c r="R11" i="3"/>
  <c r="Q11" i="3"/>
  <c r="P11" i="3"/>
  <c r="E11" i="3"/>
  <c r="F11" i="3" s="1"/>
  <c r="X10" i="3"/>
  <c r="W10" i="3"/>
  <c r="V10" i="3"/>
  <c r="U10" i="3"/>
  <c r="T10" i="3"/>
  <c r="S10" i="3"/>
  <c r="R10" i="3"/>
  <c r="Q10" i="3"/>
  <c r="P10" i="3"/>
  <c r="E10" i="3"/>
  <c r="H10" i="3" s="1"/>
  <c r="X9" i="3"/>
  <c r="W9" i="3"/>
  <c r="V9" i="3"/>
  <c r="U9" i="3"/>
  <c r="T9" i="3"/>
  <c r="S9" i="3"/>
  <c r="R9" i="3"/>
  <c r="Q9" i="3"/>
  <c r="P9" i="3"/>
  <c r="E9" i="3"/>
  <c r="J9" i="3" s="1"/>
  <c r="X8" i="3"/>
  <c r="W8" i="3"/>
  <c r="V8" i="3"/>
  <c r="U8" i="3"/>
  <c r="T8" i="3"/>
  <c r="S8" i="3"/>
  <c r="R8" i="3"/>
  <c r="Q8" i="3"/>
  <c r="P8" i="3"/>
  <c r="E8" i="3"/>
  <c r="M8" i="3" s="1"/>
  <c r="X7" i="3"/>
  <c r="W7" i="3"/>
  <c r="V7" i="3"/>
  <c r="U7" i="3"/>
  <c r="T7" i="3"/>
  <c r="S7" i="3"/>
  <c r="R7" i="3"/>
  <c r="Q7" i="3"/>
  <c r="P7" i="3"/>
  <c r="E7" i="3"/>
  <c r="F7" i="3" s="1"/>
  <c r="X6" i="3"/>
  <c r="W6" i="3"/>
  <c r="V6" i="3"/>
  <c r="U6" i="3"/>
  <c r="T6" i="3"/>
  <c r="S6" i="3"/>
  <c r="R6" i="3"/>
  <c r="Q6" i="3"/>
  <c r="P6" i="3"/>
  <c r="E6" i="3"/>
  <c r="H6" i="3" s="1"/>
  <c r="X5" i="3"/>
  <c r="W5" i="3"/>
  <c r="V5" i="3"/>
  <c r="U5" i="3"/>
  <c r="T5" i="3"/>
  <c r="S5" i="3"/>
  <c r="R5" i="3"/>
  <c r="Q5" i="3"/>
  <c r="P5" i="3"/>
  <c r="E5" i="3"/>
  <c r="J5" i="3" s="1"/>
  <c r="X4" i="3"/>
  <c r="W4" i="3"/>
  <c r="V4" i="3"/>
  <c r="U4" i="3"/>
  <c r="T4" i="3"/>
  <c r="S4" i="3"/>
  <c r="R4" i="3"/>
  <c r="Q4" i="3"/>
  <c r="P4" i="3"/>
  <c r="E4" i="3"/>
  <c r="M4" i="3" s="1"/>
  <c r="X3" i="3"/>
  <c r="W3" i="3"/>
  <c r="V3" i="3"/>
  <c r="U3" i="3"/>
  <c r="T3" i="3"/>
  <c r="S3" i="3"/>
  <c r="R3" i="3"/>
  <c r="Q3" i="3"/>
  <c r="P3" i="3"/>
  <c r="E3" i="3"/>
  <c r="F3" i="3" s="1"/>
  <c r="X2" i="3"/>
  <c r="W2" i="3"/>
  <c r="V2" i="3"/>
  <c r="U2" i="3"/>
  <c r="T2" i="3"/>
  <c r="S2" i="3"/>
  <c r="R2" i="3"/>
  <c r="Q2" i="3"/>
  <c r="P2" i="3"/>
  <c r="E2" i="3"/>
  <c r="G2" i="3" s="1"/>
  <c r="T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2" i="1"/>
  <c r="T2" i="1"/>
  <c r="T3" i="1"/>
  <c r="T15" i="1"/>
  <c r="T21" i="1"/>
  <c r="T27" i="1"/>
  <c r="T4" i="1"/>
  <c r="T10" i="1"/>
  <c r="T16" i="1"/>
  <c r="T22" i="1"/>
  <c r="T28" i="1"/>
  <c r="T5" i="1"/>
  <c r="T11" i="1"/>
  <c r="T17" i="1"/>
  <c r="T23" i="1"/>
  <c r="T29" i="1"/>
  <c r="T6" i="1"/>
  <c r="T12" i="1"/>
  <c r="T18" i="1"/>
  <c r="T24" i="1"/>
  <c r="T30" i="1"/>
  <c r="T7" i="1"/>
  <c r="T13" i="1"/>
  <c r="T19" i="1"/>
  <c r="T25" i="1"/>
  <c r="T31" i="1"/>
  <c r="T8" i="1"/>
  <c r="T14" i="1"/>
  <c r="T20" i="1"/>
  <c r="T26" i="1"/>
  <c r="T32" i="1"/>
  <c r="W9" i="1"/>
  <c r="S9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2" i="1"/>
  <c r="W3" i="1"/>
  <c r="W4" i="1"/>
  <c r="W5" i="1"/>
  <c r="W6" i="1"/>
  <c r="W7" i="1"/>
  <c r="W8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U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2" i="1"/>
  <c r="E3" i="1"/>
  <c r="I3" i="1" s="1"/>
  <c r="E4" i="1"/>
  <c r="M4" i="1" s="1"/>
  <c r="E5" i="1"/>
  <c r="M5" i="1" s="1"/>
  <c r="E6" i="1"/>
  <c r="G6" i="1" s="1"/>
  <c r="E7" i="1"/>
  <c r="M7" i="1" s="1"/>
  <c r="E8" i="1"/>
  <c r="K8" i="1" s="1"/>
  <c r="E9" i="1"/>
  <c r="M9" i="1" s="1"/>
  <c r="E10" i="1"/>
  <c r="I10" i="1" s="1"/>
  <c r="E11" i="1"/>
  <c r="I11" i="1" s="1"/>
  <c r="E12" i="1"/>
  <c r="M12" i="1" s="1"/>
  <c r="E13" i="1"/>
  <c r="M13" i="1" s="1"/>
  <c r="E14" i="1"/>
  <c r="G14" i="1" s="1"/>
  <c r="E15" i="1"/>
  <c r="M15" i="1" s="1"/>
  <c r="E16" i="1"/>
  <c r="K16" i="1" s="1"/>
  <c r="E17" i="1"/>
  <c r="M17" i="1" s="1"/>
  <c r="E18" i="1"/>
  <c r="I18" i="1" s="1"/>
  <c r="E19" i="1"/>
  <c r="I19" i="1" s="1"/>
  <c r="E20" i="1"/>
  <c r="M20" i="1" s="1"/>
  <c r="E21" i="1"/>
  <c r="M21" i="1" s="1"/>
  <c r="E22" i="1"/>
  <c r="G22" i="1" s="1"/>
  <c r="E23" i="1"/>
  <c r="M23" i="1" s="1"/>
  <c r="E24" i="1"/>
  <c r="K24" i="1" s="1"/>
  <c r="E25" i="1"/>
  <c r="M25" i="1" s="1"/>
  <c r="E26" i="1"/>
  <c r="I26" i="1" s="1"/>
  <c r="E27" i="1"/>
  <c r="I27" i="1" s="1"/>
  <c r="E28" i="1"/>
  <c r="M28" i="1" s="1"/>
  <c r="E29" i="1"/>
  <c r="M29" i="1" s="1"/>
  <c r="E30" i="1"/>
  <c r="G30" i="1" s="1"/>
  <c r="E31" i="1"/>
  <c r="M31" i="1" s="1"/>
  <c r="E32" i="1"/>
  <c r="K32" i="1" s="1"/>
  <c r="E2" i="1"/>
  <c r="I2" i="1" s="1"/>
  <c r="D3" i="6" l="1"/>
  <c r="D10" i="6"/>
  <c r="D33" i="6"/>
  <c r="D9" i="6"/>
  <c r="D32" i="6"/>
  <c r="D8" i="6"/>
  <c r="D31" i="6"/>
  <c r="D7" i="6"/>
  <c r="D30" i="6"/>
  <c r="D6" i="6"/>
  <c r="D29" i="6"/>
  <c r="D5" i="6"/>
  <c r="D4" i="6"/>
  <c r="D27" i="6"/>
  <c r="E3" i="6"/>
  <c r="D25" i="6"/>
  <c r="D28" i="6"/>
  <c r="H18" i="4"/>
  <c r="H17" i="4"/>
  <c r="H16" i="4"/>
  <c r="H19" i="4"/>
  <c r="H20" i="4"/>
  <c r="H7" i="4"/>
  <c r="H21" i="4"/>
  <c r="H8" i="4"/>
  <c r="H30" i="4"/>
  <c r="H6" i="4"/>
  <c r="H29" i="4"/>
  <c r="H5" i="4"/>
  <c r="H31" i="4"/>
  <c r="H28" i="4"/>
  <c r="H4" i="4"/>
  <c r="H2" i="4"/>
  <c r="H32" i="4"/>
  <c r="H27" i="4"/>
  <c r="H3" i="4"/>
  <c r="J20" i="4"/>
  <c r="O24" i="4"/>
  <c r="K27" i="4"/>
  <c r="L3" i="4"/>
  <c r="J16" i="4"/>
  <c r="M20" i="4"/>
  <c r="O30" i="4"/>
  <c r="P27" i="4"/>
  <c r="M10" i="4"/>
  <c r="K20" i="4"/>
  <c r="L20" i="4"/>
  <c r="K5" i="4"/>
  <c r="P18" i="4"/>
  <c r="J27" i="4"/>
  <c r="O18" i="4"/>
  <c r="L27" i="4"/>
  <c r="M27" i="4"/>
  <c r="O27" i="4"/>
  <c r="I10" i="4"/>
  <c r="J23" i="4"/>
  <c r="K10" i="4"/>
  <c r="F10" i="4"/>
  <c r="L32" i="4"/>
  <c r="O10" i="4"/>
  <c r="P10" i="4"/>
  <c r="J6" i="4"/>
  <c r="M8" i="4"/>
  <c r="F6" i="4"/>
  <c r="J10" i="4"/>
  <c r="I6" i="4"/>
  <c r="L21" i="4"/>
  <c r="F29" i="4"/>
  <c r="L5" i="4"/>
  <c r="K17" i="4"/>
  <c r="K29" i="4"/>
  <c r="F12" i="4"/>
  <c r="F2" i="4"/>
  <c r="J12" i="4"/>
  <c r="L17" i="4"/>
  <c r="F26" i="4"/>
  <c r="M29" i="4"/>
  <c r="F31" i="4"/>
  <c r="O17" i="4"/>
  <c r="I31" i="4"/>
  <c r="J31" i="4"/>
  <c r="O5" i="4"/>
  <c r="K2" i="4"/>
  <c r="L7" i="4"/>
  <c r="M12" i="4"/>
  <c r="F14" i="4"/>
  <c r="M26" i="4"/>
  <c r="K31" i="4"/>
  <c r="N26" i="4"/>
  <c r="L31" i="4"/>
  <c r="M2" i="4"/>
  <c r="K9" i="4"/>
  <c r="O26" i="4"/>
  <c r="O2" i="4"/>
  <c r="J4" i="4"/>
  <c r="L9" i="4"/>
  <c r="K14" i="4"/>
  <c r="L19" i="4"/>
  <c r="O31" i="4"/>
  <c r="I26" i="4"/>
  <c r="F4" i="4"/>
  <c r="K4" i="4"/>
  <c r="P31" i="4"/>
  <c r="J14" i="4"/>
  <c r="P2" i="4"/>
  <c r="O9" i="4"/>
  <c r="L14" i="4"/>
  <c r="L4" i="4"/>
  <c r="M14" i="4"/>
  <c r="F16" i="4"/>
  <c r="K21" i="4"/>
  <c r="F23" i="4"/>
  <c r="L12" i="4"/>
  <c r="P14" i="4"/>
  <c r="K16" i="4"/>
  <c r="N21" i="4"/>
  <c r="L23" i="4"/>
  <c r="L28" i="4"/>
  <c r="P21" i="4"/>
  <c r="K30" i="4"/>
  <c r="L26" i="4"/>
  <c r="I14" i="4"/>
  <c r="M23" i="4"/>
  <c r="K6" i="4"/>
  <c r="L11" i="4"/>
  <c r="M16" i="4"/>
  <c r="F18" i="4"/>
  <c r="N23" i="4"/>
  <c r="F25" i="4"/>
  <c r="L30" i="4"/>
  <c r="L15" i="4"/>
  <c r="I2" i="4"/>
  <c r="O23" i="4"/>
  <c r="L16" i="4"/>
  <c r="M6" i="4"/>
  <c r="F8" i="4"/>
  <c r="K13" i="4"/>
  <c r="J18" i="4"/>
  <c r="P23" i="4"/>
  <c r="J2" i="4"/>
  <c r="O6" i="4"/>
  <c r="J8" i="4"/>
  <c r="L13" i="4"/>
  <c r="K18" i="4"/>
  <c r="K12" i="4"/>
  <c r="M4" i="4"/>
  <c r="I18" i="4"/>
  <c r="P6" i="4"/>
  <c r="K8" i="4"/>
  <c r="O13" i="4"/>
  <c r="L18" i="4"/>
  <c r="F27" i="4"/>
  <c r="J29" i="4"/>
  <c r="J25" i="4"/>
  <c r="L8" i="4"/>
  <c r="F20" i="4"/>
  <c r="I5" i="4"/>
  <c r="I9" i="4"/>
  <c r="I13" i="4"/>
  <c r="I17" i="4"/>
  <c r="I21" i="4"/>
  <c r="N22" i="4"/>
  <c r="J26" i="4"/>
  <c r="I30" i="4"/>
  <c r="J5" i="4"/>
  <c r="J9" i="4"/>
  <c r="J13" i="4"/>
  <c r="J17" i="4"/>
  <c r="J21" i="4"/>
  <c r="O22" i="4"/>
  <c r="K26" i="4"/>
  <c r="J30" i="4"/>
  <c r="P22" i="4"/>
  <c r="M5" i="4"/>
  <c r="M9" i="4"/>
  <c r="M13" i="4"/>
  <c r="M17" i="4"/>
  <c r="M21" i="4"/>
  <c r="I25" i="4"/>
  <c r="M30" i="4"/>
  <c r="I4" i="4"/>
  <c r="P5" i="4"/>
  <c r="I8" i="4"/>
  <c r="P9" i="4"/>
  <c r="I12" i="4"/>
  <c r="P13" i="4"/>
  <c r="I16" i="4"/>
  <c r="P17" i="4"/>
  <c r="I20" i="4"/>
  <c r="O21" i="4"/>
  <c r="K25" i="4"/>
  <c r="I29" i="4"/>
  <c r="P30" i="4"/>
  <c r="L25" i="4"/>
  <c r="F24" i="4"/>
  <c r="M25" i="4"/>
  <c r="I24" i="4"/>
  <c r="N25" i="4"/>
  <c r="L29" i="4"/>
  <c r="J24" i="4"/>
  <c r="O25" i="4"/>
  <c r="F3" i="4"/>
  <c r="O4" i="4"/>
  <c r="F7" i="4"/>
  <c r="O8" i="4"/>
  <c r="F11" i="4"/>
  <c r="O12" i="4"/>
  <c r="F15" i="4"/>
  <c r="O16" i="4"/>
  <c r="F19" i="4"/>
  <c r="O20" i="4"/>
  <c r="K24" i="4"/>
  <c r="F28" i="4"/>
  <c r="O29" i="4"/>
  <c r="F32" i="4"/>
  <c r="I3" i="4"/>
  <c r="I7" i="4"/>
  <c r="I11" i="4"/>
  <c r="I15" i="4"/>
  <c r="I19" i="4"/>
  <c r="L24" i="4"/>
  <c r="I28" i="4"/>
  <c r="I32" i="4"/>
  <c r="J3" i="4"/>
  <c r="J7" i="4"/>
  <c r="J11" i="4"/>
  <c r="J15" i="4"/>
  <c r="J19" i="4"/>
  <c r="M24" i="4"/>
  <c r="J28" i="4"/>
  <c r="J32" i="4"/>
  <c r="K3" i="4"/>
  <c r="K7" i="4"/>
  <c r="K11" i="4"/>
  <c r="K15" i="4"/>
  <c r="K19" i="4"/>
  <c r="I23" i="4"/>
  <c r="N24" i="4"/>
  <c r="K28" i="4"/>
  <c r="K32" i="4"/>
  <c r="M3" i="4"/>
  <c r="M7" i="4"/>
  <c r="M11" i="4"/>
  <c r="M15" i="4"/>
  <c r="M19" i="4"/>
  <c r="M28" i="4"/>
  <c r="M32" i="4"/>
  <c r="O3" i="4"/>
  <c r="O7" i="4"/>
  <c r="O11" i="4"/>
  <c r="O15" i="4"/>
  <c r="O19" i="4"/>
  <c r="O28" i="4"/>
  <c r="O32" i="4"/>
  <c r="F22" i="4"/>
  <c r="I22" i="4"/>
  <c r="J22" i="4"/>
  <c r="K22" i="4"/>
  <c r="L22" i="4"/>
  <c r="I18" i="3"/>
  <c r="G32" i="3"/>
  <c r="K9" i="3"/>
  <c r="F17" i="3"/>
  <c r="H22" i="3"/>
  <c r="G27" i="3"/>
  <c r="H17" i="3"/>
  <c r="I31" i="3"/>
  <c r="K17" i="3"/>
  <c r="K30" i="3"/>
  <c r="I27" i="3"/>
  <c r="I14" i="3"/>
  <c r="K5" i="3"/>
  <c r="G3" i="3"/>
  <c r="I6" i="3"/>
  <c r="H2" i="3"/>
  <c r="G7" i="3"/>
  <c r="I10" i="3"/>
  <c r="G13" i="3"/>
  <c r="G15" i="3"/>
  <c r="F19" i="3"/>
  <c r="F21" i="3"/>
  <c r="M23" i="3"/>
  <c r="L25" i="3"/>
  <c r="G25" i="3"/>
  <c r="I2" i="3"/>
  <c r="I13" i="3"/>
  <c r="G19" i="3"/>
  <c r="H21" i="3"/>
  <c r="G28" i="3"/>
  <c r="K2" i="3"/>
  <c r="K21" i="3"/>
  <c r="J19" i="3"/>
  <c r="G11" i="3"/>
  <c r="H18" i="3"/>
  <c r="M19" i="3"/>
  <c r="G24" i="3"/>
  <c r="L26" i="3"/>
  <c r="K13" i="3"/>
  <c r="J24" i="3"/>
  <c r="H3" i="3"/>
  <c r="F4" i="3"/>
  <c r="M5" i="3"/>
  <c r="J6" i="3"/>
  <c r="H7" i="3"/>
  <c r="F8" i="3"/>
  <c r="M9" i="3"/>
  <c r="J10" i="3"/>
  <c r="H11" i="3"/>
  <c r="F12" i="3"/>
  <c r="M13" i="3"/>
  <c r="J14" i="3"/>
  <c r="H15" i="3"/>
  <c r="F16" i="3"/>
  <c r="M17" i="3"/>
  <c r="J18" i="3"/>
  <c r="H19" i="3"/>
  <c r="F20" i="3"/>
  <c r="L21" i="3"/>
  <c r="I22" i="3"/>
  <c r="F23" i="3"/>
  <c r="N23" i="3"/>
  <c r="K24" i="3"/>
  <c r="H25" i="3"/>
  <c r="M26" i="3"/>
  <c r="J27" i="3"/>
  <c r="H28" i="3"/>
  <c r="F29" i="3"/>
  <c r="M30" i="3"/>
  <c r="J31" i="3"/>
  <c r="H32" i="3"/>
  <c r="N12" i="3"/>
  <c r="N20" i="3"/>
  <c r="J2" i="3"/>
  <c r="I3" i="3"/>
  <c r="G4" i="3"/>
  <c r="N5" i="3"/>
  <c r="K6" i="3"/>
  <c r="I7" i="3"/>
  <c r="G8" i="3"/>
  <c r="N9" i="3"/>
  <c r="K10" i="3"/>
  <c r="I11" i="3"/>
  <c r="G12" i="3"/>
  <c r="N13" i="3"/>
  <c r="K14" i="3"/>
  <c r="I15" i="3"/>
  <c r="G16" i="3"/>
  <c r="N17" i="3"/>
  <c r="K18" i="3"/>
  <c r="I19" i="3"/>
  <c r="G20" i="3"/>
  <c r="M21" i="3"/>
  <c r="J22" i="3"/>
  <c r="G23" i="3"/>
  <c r="L24" i="3"/>
  <c r="I25" i="3"/>
  <c r="F26" i="3"/>
  <c r="N26" i="3"/>
  <c r="K27" i="3"/>
  <c r="I28" i="3"/>
  <c r="G29" i="3"/>
  <c r="N30" i="3"/>
  <c r="K31" i="3"/>
  <c r="I32" i="3"/>
  <c r="J3" i="3"/>
  <c r="H4" i="3"/>
  <c r="F5" i="3"/>
  <c r="M6" i="3"/>
  <c r="J7" i="3"/>
  <c r="H8" i="3"/>
  <c r="F9" i="3"/>
  <c r="M10" i="3"/>
  <c r="J11" i="3"/>
  <c r="H12" i="3"/>
  <c r="F13" i="3"/>
  <c r="M14" i="3"/>
  <c r="J15" i="3"/>
  <c r="H16" i="3"/>
  <c r="H20" i="3"/>
  <c r="N21" i="3"/>
  <c r="K22" i="3"/>
  <c r="H23" i="3"/>
  <c r="M24" i="3"/>
  <c r="J25" i="3"/>
  <c r="G26" i="3"/>
  <c r="M27" i="3"/>
  <c r="J28" i="3"/>
  <c r="H29" i="3"/>
  <c r="F30" i="3"/>
  <c r="M31" i="3"/>
  <c r="J32" i="3"/>
  <c r="N4" i="3"/>
  <c r="M2" i="3"/>
  <c r="K3" i="3"/>
  <c r="I4" i="3"/>
  <c r="G5" i="3"/>
  <c r="N6" i="3"/>
  <c r="K7" i="3"/>
  <c r="I8" i="3"/>
  <c r="G9" i="3"/>
  <c r="N10" i="3"/>
  <c r="K11" i="3"/>
  <c r="I12" i="3"/>
  <c r="N14" i="3"/>
  <c r="K15" i="3"/>
  <c r="I16" i="3"/>
  <c r="G17" i="3"/>
  <c r="N18" i="3"/>
  <c r="K19" i="3"/>
  <c r="I20" i="3"/>
  <c r="G21" i="3"/>
  <c r="L22" i="3"/>
  <c r="I23" i="3"/>
  <c r="F24" i="3"/>
  <c r="N24" i="3"/>
  <c r="K25" i="3"/>
  <c r="H26" i="3"/>
  <c r="N27" i="3"/>
  <c r="K28" i="3"/>
  <c r="I29" i="3"/>
  <c r="G30" i="3"/>
  <c r="N31" i="3"/>
  <c r="K32" i="3"/>
  <c r="N8" i="3"/>
  <c r="N2" i="3"/>
  <c r="M3" i="3"/>
  <c r="J4" i="3"/>
  <c r="H5" i="3"/>
  <c r="F6" i="3"/>
  <c r="M7" i="3"/>
  <c r="J8" i="3"/>
  <c r="H9" i="3"/>
  <c r="F10" i="3"/>
  <c r="M11" i="3"/>
  <c r="J12" i="3"/>
  <c r="H13" i="3"/>
  <c r="F14" i="3"/>
  <c r="M15" i="3"/>
  <c r="J16" i="3"/>
  <c r="J20" i="3"/>
  <c r="M22" i="3"/>
  <c r="J23" i="3"/>
  <c r="I26" i="3"/>
  <c r="F27" i="3"/>
  <c r="M28" i="3"/>
  <c r="J29" i="3"/>
  <c r="H30" i="3"/>
  <c r="F31" i="3"/>
  <c r="M32" i="3"/>
  <c r="N16" i="3"/>
  <c r="N29" i="3"/>
  <c r="F2" i="3"/>
  <c r="N3" i="3"/>
  <c r="K4" i="3"/>
  <c r="I5" i="3"/>
  <c r="G6" i="3"/>
  <c r="N7" i="3"/>
  <c r="K8" i="3"/>
  <c r="I9" i="3"/>
  <c r="G10" i="3"/>
  <c r="N11" i="3"/>
  <c r="K12" i="3"/>
  <c r="G14" i="3"/>
  <c r="N15" i="3"/>
  <c r="K16" i="3"/>
  <c r="I17" i="3"/>
  <c r="K20" i="3"/>
  <c r="I21" i="3"/>
  <c r="F22" i="3"/>
  <c r="N22" i="3"/>
  <c r="K23" i="3"/>
  <c r="H24" i="3"/>
  <c r="M25" i="3"/>
  <c r="J26" i="3"/>
  <c r="N28" i="3"/>
  <c r="K29" i="3"/>
  <c r="I30" i="3"/>
  <c r="G31" i="3"/>
  <c r="N32" i="3"/>
  <c r="F25" i="3"/>
  <c r="L23" i="1"/>
  <c r="L26" i="1"/>
  <c r="L21" i="1"/>
  <c r="L25" i="1"/>
  <c r="L24" i="1"/>
  <c r="L22" i="1"/>
  <c r="J25" i="1"/>
  <c r="J6" i="1"/>
  <c r="J16" i="1"/>
  <c r="J2" i="1"/>
  <c r="J19" i="1"/>
  <c r="J29" i="1"/>
  <c r="J10" i="1"/>
  <c r="J32" i="1"/>
  <c r="J13" i="1"/>
  <c r="J23" i="1"/>
  <c r="J4" i="1"/>
  <c r="J26" i="1"/>
  <c r="J7" i="1"/>
  <c r="J17" i="1"/>
  <c r="J27" i="1"/>
  <c r="J20" i="1"/>
  <c r="J30" i="1"/>
  <c r="J11" i="1"/>
  <c r="J21" i="1"/>
  <c r="J14" i="1"/>
  <c r="J24" i="1"/>
  <c r="J5" i="1"/>
  <c r="J15" i="1"/>
  <c r="J8" i="1"/>
  <c r="J18" i="1"/>
  <c r="J28" i="1"/>
  <c r="J9" i="1"/>
  <c r="J31" i="1"/>
  <c r="J12" i="1"/>
  <c r="J22" i="1"/>
  <c r="J3" i="1"/>
  <c r="F19" i="1"/>
  <c r="K27" i="1"/>
  <c r="K7" i="1"/>
  <c r="G15" i="1"/>
  <c r="H3" i="1"/>
  <c r="M19" i="1"/>
  <c r="N27" i="1"/>
  <c r="N19" i="1"/>
  <c r="N11" i="1"/>
  <c r="N3" i="1"/>
  <c r="F2" i="1"/>
  <c r="F17" i="1"/>
  <c r="K25" i="1"/>
  <c r="K3" i="1"/>
  <c r="G13" i="1"/>
  <c r="I25" i="1"/>
  <c r="M11" i="1"/>
  <c r="N26" i="1"/>
  <c r="N18" i="1"/>
  <c r="N10" i="1"/>
  <c r="H2" i="1"/>
  <c r="F13" i="1"/>
  <c r="K23" i="1"/>
  <c r="G31" i="1"/>
  <c r="G9" i="1"/>
  <c r="I17" i="1"/>
  <c r="M3" i="1"/>
  <c r="N2" i="1"/>
  <c r="N25" i="1"/>
  <c r="N17" i="1"/>
  <c r="N9" i="1"/>
  <c r="K2" i="1"/>
  <c r="F11" i="1"/>
  <c r="K19" i="1"/>
  <c r="G29" i="1"/>
  <c r="G7" i="1"/>
  <c r="I9" i="1"/>
  <c r="N32" i="1"/>
  <c r="N24" i="1"/>
  <c r="N16" i="1"/>
  <c r="N8" i="1"/>
  <c r="F29" i="1"/>
  <c r="F9" i="1"/>
  <c r="K17" i="1"/>
  <c r="G25" i="1"/>
  <c r="G5" i="1"/>
  <c r="N31" i="1"/>
  <c r="N23" i="1"/>
  <c r="N15" i="1"/>
  <c r="N7" i="1"/>
  <c r="F27" i="1"/>
  <c r="F5" i="1"/>
  <c r="K15" i="1"/>
  <c r="G23" i="1"/>
  <c r="H27" i="1"/>
  <c r="N30" i="1"/>
  <c r="N22" i="1"/>
  <c r="N14" i="1"/>
  <c r="N6" i="1"/>
  <c r="F25" i="1"/>
  <c r="F3" i="1"/>
  <c r="K11" i="1"/>
  <c r="G21" i="1"/>
  <c r="H19" i="1"/>
  <c r="N29" i="1"/>
  <c r="N21" i="1"/>
  <c r="N13" i="1"/>
  <c r="N5" i="1"/>
  <c r="F21" i="1"/>
  <c r="K31" i="1"/>
  <c r="K9" i="1"/>
  <c r="G17" i="1"/>
  <c r="H11" i="1"/>
  <c r="M27" i="1"/>
  <c r="N28" i="1"/>
  <c r="N20" i="1"/>
  <c r="N12" i="1"/>
  <c r="N4" i="1"/>
  <c r="F32" i="1"/>
  <c r="F24" i="1"/>
  <c r="F16" i="1"/>
  <c r="F8" i="1"/>
  <c r="K30" i="1"/>
  <c r="K22" i="1"/>
  <c r="K14" i="1"/>
  <c r="K6" i="1"/>
  <c r="G28" i="1"/>
  <c r="G20" i="1"/>
  <c r="G12" i="1"/>
  <c r="G4" i="1"/>
  <c r="H26" i="1"/>
  <c r="H18" i="1"/>
  <c r="H10" i="1"/>
  <c r="I32" i="1"/>
  <c r="I24" i="1"/>
  <c r="I16" i="1"/>
  <c r="I8" i="1"/>
  <c r="M26" i="1"/>
  <c r="M18" i="1"/>
  <c r="M10" i="1"/>
  <c r="F31" i="1"/>
  <c r="F23" i="1"/>
  <c r="F15" i="1"/>
  <c r="F7" i="1"/>
  <c r="K29" i="1"/>
  <c r="K21" i="1"/>
  <c r="K13" i="1"/>
  <c r="K5" i="1"/>
  <c r="G27" i="1"/>
  <c r="G19" i="1"/>
  <c r="G11" i="1"/>
  <c r="G3" i="1"/>
  <c r="H25" i="1"/>
  <c r="H17" i="1"/>
  <c r="H9" i="1"/>
  <c r="I31" i="1"/>
  <c r="I23" i="1"/>
  <c r="I15" i="1"/>
  <c r="I7" i="1"/>
  <c r="M2" i="1"/>
  <c r="F30" i="1"/>
  <c r="F22" i="1"/>
  <c r="F14" i="1"/>
  <c r="F6" i="1"/>
  <c r="K28" i="1"/>
  <c r="AD2" i="1" s="1"/>
  <c r="K20" i="1"/>
  <c r="K12" i="1"/>
  <c r="K4" i="1"/>
  <c r="G26" i="1"/>
  <c r="G18" i="1"/>
  <c r="G10" i="1"/>
  <c r="H32" i="1"/>
  <c r="H24" i="1"/>
  <c r="H16" i="1"/>
  <c r="H8" i="1"/>
  <c r="I30" i="1"/>
  <c r="I22" i="1"/>
  <c r="I14" i="1"/>
  <c r="I6" i="1"/>
  <c r="M32" i="1"/>
  <c r="M24" i="1"/>
  <c r="M16" i="1"/>
  <c r="AE2" i="1" s="1"/>
  <c r="M8" i="1"/>
  <c r="H31" i="1"/>
  <c r="H23" i="1"/>
  <c r="H15" i="1"/>
  <c r="H7" i="1"/>
  <c r="I29" i="1"/>
  <c r="I21" i="1"/>
  <c r="I13" i="1"/>
  <c r="I5" i="1"/>
  <c r="G2" i="1"/>
  <c r="F28" i="1"/>
  <c r="Z2" i="1" s="1"/>
  <c r="F20" i="1"/>
  <c r="F12" i="1"/>
  <c r="F4" i="1"/>
  <c r="K26" i="1"/>
  <c r="K18" i="1"/>
  <c r="K10" i="1"/>
  <c r="G32" i="1"/>
  <c r="G24" i="1"/>
  <c r="G16" i="1"/>
  <c r="G8" i="1"/>
  <c r="H30" i="1"/>
  <c r="H22" i="1"/>
  <c r="H14" i="1"/>
  <c r="H6" i="1"/>
  <c r="I28" i="1"/>
  <c r="AC2" i="1" s="1"/>
  <c r="I20" i="1"/>
  <c r="I12" i="1"/>
  <c r="I4" i="1"/>
  <c r="M30" i="1"/>
  <c r="M22" i="1"/>
  <c r="M14" i="1"/>
  <c r="M6" i="1"/>
  <c r="H29" i="1"/>
  <c r="H21" i="1"/>
  <c r="H13" i="1"/>
  <c r="H5" i="1"/>
  <c r="F26" i="1"/>
  <c r="F18" i="1"/>
  <c r="F10" i="1"/>
  <c r="H28" i="1"/>
  <c r="H20" i="1"/>
  <c r="H12" i="1"/>
  <c r="H4" i="1"/>
  <c r="F36" i="3" l="1"/>
  <c r="F44" i="3"/>
  <c r="F39" i="3"/>
  <c r="F47" i="3"/>
  <c r="F38" i="3"/>
  <c r="F46" i="3"/>
  <c r="F37" i="3"/>
  <c r="F45" i="3"/>
  <c r="F40" i="3"/>
  <c r="F48" i="3"/>
  <c r="F35" i="3"/>
  <c r="F43" i="3"/>
  <c r="AB2" i="1"/>
  <c r="AF2" i="1"/>
  <c r="AA2" i="1"/>
  <c r="H35" i="3" l="1"/>
  <c r="I35" i="3"/>
  <c r="J35" i="3"/>
  <c r="K35" i="3"/>
  <c r="L35" i="3"/>
  <c r="M35" i="3"/>
</calcChain>
</file>

<file path=xl/sharedStrings.xml><?xml version="1.0" encoding="utf-8"?>
<sst xmlns="http://schemas.openxmlformats.org/spreadsheetml/2006/main" count="14" uniqueCount="5">
  <si>
    <t>N</t>
    <phoneticPr fontId="1" type="noConversion"/>
  </si>
  <si>
    <t>MHz</t>
    <phoneticPr fontId="1" type="noConversion"/>
  </si>
  <si>
    <t>ms</t>
    <phoneticPr fontId="1" type="noConversion"/>
  </si>
  <si>
    <t>将空切片图片先放在另一个文件夹，然后最后根据正样本总数来随机5%的负样本</t>
    <phoneticPr fontId="1" type="noConversion"/>
  </si>
  <si>
    <t>n_window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</si>
</sst>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D6B4-5DEB-4C6E-B35D-7FBBE6E5AE37}">
  <dimension ref="A1:R32"/>
  <sheetViews>
    <sheetView workbookViewId="0">
      <selection activeCell="G3" sqref="G3"/>
    </sheetView>
  </sheetViews>
  <sheetFormatPr defaultColWidth="8.625" defaultRowHeight="14.25"/>
  <cols>
    <col min="1" max="4" width="8.75" style="1" bestFit="1" customWidth="1"/>
    <col min="5" max="5" width="9.125" style="1" bestFit="1" customWidth="1"/>
    <col min="6" max="6" width="8.75" style="1" bestFit="1" customWidth="1"/>
    <col min="7" max="8" width="8.75" style="1" customWidth="1"/>
    <col min="9" max="16" width="8.75" style="1" bestFit="1" customWidth="1"/>
    <col min="17" max="17" width="8.625" style="1"/>
    <col min="18" max="26" width="8.75" style="1" bestFit="1" customWidth="1"/>
    <col min="27" max="16384" width="8.625" style="1"/>
  </cols>
  <sheetData>
    <row r="1" spans="1:18">
      <c r="C1" s="1" t="s">
        <v>1</v>
      </c>
      <c r="D1" s="1" t="s">
        <v>2</v>
      </c>
      <c r="E1" s="1" t="s">
        <v>0</v>
      </c>
      <c r="F1" s="1">
        <v>500</v>
      </c>
      <c r="G1" s="1">
        <v>900</v>
      </c>
      <c r="H1" s="1">
        <v>1000</v>
      </c>
      <c r="I1" s="1">
        <v>1200</v>
      </c>
      <c r="J1" s="1">
        <v>2000</v>
      </c>
      <c r="K1" s="1">
        <v>8000</v>
      </c>
      <c r="L1" s="1">
        <v>12000</v>
      </c>
      <c r="M1" s="1">
        <v>16000</v>
      </c>
      <c r="N1" s="1">
        <v>20000</v>
      </c>
      <c r="O1" s="1">
        <v>32000</v>
      </c>
      <c r="P1" s="1">
        <v>32768</v>
      </c>
    </row>
    <row r="2" spans="1:18">
      <c r="A2" s="1">
        <v>1</v>
      </c>
      <c r="B2" s="2">
        <v>1113</v>
      </c>
      <c r="C2" s="3">
        <v>5</v>
      </c>
      <c r="D2" s="4">
        <v>20</v>
      </c>
      <c r="E2" s="5">
        <f t="shared" ref="E2:E32" si="0">C2*D2*1000</f>
        <v>100000</v>
      </c>
      <c r="F2" s="6">
        <f t="shared" ref="F2:F32" si="1">1+(E2-$F$1)/((1-0.5)*$F$1)</f>
        <v>399</v>
      </c>
      <c r="H2" s="6">
        <f>1+(E2-$H$1)/((1-0.5)*$H$1)</f>
        <v>199</v>
      </c>
      <c r="I2" s="6">
        <f t="shared" ref="I2:I32" si="2">1+(E2-$I$1)/((1-0.5)*$I$1)</f>
        <v>165.66666666666666</v>
      </c>
      <c r="J2" s="1">
        <f t="shared" ref="J2:J32" si="3">1+(E2-$J$1)/((1-0.5)*$J$1)</f>
        <v>99</v>
      </c>
      <c r="K2" s="1">
        <f t="shared" ref="K2:K32" si="4">1+(E2-$K$1)/((1-0.5)*$K$1)</f>
        <v>24</v>
      </c>
      <c r="L2" s="6">
        <f t="shared" ref="L2:L32" si="5">1+(E2-$L$1)/((1-0.5)*$L$1)</f>
        <v>15.666666666666666</v>
      </c>
      <c r="M2" s="1">
        <f t="shared" ref="M2:M32" si="6">1+(E2-$M$1)/((1-0.5)*$M$1)</f>
        <v>11.5</v>
      </c>
      <c r="O2" s="1">
        <f t="shared" ref="O2:O32" si="7">1+(E2-$O$1)/((1-0.5)*$O$1)</f>
        <v>5.25</v>
      </c>
      <c r="P2" s="1">
        <f t="shared" ref="P2:P32" si="8">1+(E2-$P$1)/((1-0.5)*$P$1)</f>
        <v>5.103515625</v>
      </c>
    </row>
    <row r="3" spans="1:18">
      <c r="A3" s="1">
        <v>2</v>
      </c>
      <c r="B3" s="2">
        <v>668</v>
      </c>
      <c r="C3" s="3">
        <v>20</v>
      </c>
      <c r="D3" s="4">
        <v>20</v>
      </c>
      <c r="E3" s="5">
        <f t="shared" si="0"/>
        <v>400000</v>
      </c>
      <c r="F3" s="1">
        <f t="shared" si="1"/>
        <v>1599</v>
      </c>
      <c r="G3" s="6">
        <f>1+(E3-$G$1)/((1-0.5)*$G$1)</f>
        <v>887.88888888888891</v>
      </c>
      <c r="H3" s="6">
        <f t="shared" ref="H3:H32" si="9">1+(E3-$H$1)/((1-0.5)*$H$1)</f>
        <v>799</v>
      </c>
      <c r="I3" s="1">
        <f t="shared" si="2"/>
        <v>665.66666666666663</v>
      </c>
      <c r="J3" s="1">
        <f t="shared" si="3"/>
        <v>399</v>
      </c>
      <c r="K3" s="6">
        <f t="shared" si="4"/>
        <v>99</v>
      </c>
      <c r="L3" s="6">
        <f t="shared" si="5"/>
        <v>65.666666666666671</v>
      </c>
      <c r="M3" s="1">
        <f t="shared" si="6"/>
        <v>49</v>
      </c>
      <c r="O3" s="6">
        <f t="shared" si="7"/>
        <v>24</v>
      </c>
      <c r="P3" s="6">
        <f t="shared" si="8"/>
        <v>23.4140625</v>
      </c>
      <c r="Q3" s="6"/>
      <c r="R3" s="6"/>
    </row>
    <row r="4" spans="1:18">
      <c r="A4" s="1">
        <v>3</v>
      </c>
      <c r="B4" s="2">
        <v>155</v>
      </c>
      <c r="C4" s="3">
        <v>20</v>
      </c>
      <c r="D4" s="4">
        <v>40</v>
      </c>
      <c r="E4" s="5">
        <f t="shared" si="0"/>
        <v>800000</v>
      </c>
      <c r="F4" s="1">
        <f t="shared" si="1"/>
        <v>3199</v>
      </c>
      <c r="H4" s="6">
        <f t="shared" si="9"/>
        <v>1599</v>
      </c>
      <c r="I4" s="1">
        <f t="shared" si="2"/>
        <v>1332.3333333333333</v>
      </c>
      <c r="J4" s="1">
        <f t="shared" si="3"/>
        <v>799</v>
      </c>
      <c r="K4" s="6">
        <f t="shared" si="4"/>
        <v>199</v>
      </c>
      <c r="L4" s="6">
        <f t="shared" si="5"/>
        <v>132.33333333333334</v>
      </c>
      <c r="M4" s="6">
        <f t="shared" si="6"/>
        <v>99</v>
      </c>
      <c r="N4" s="6"/>
      <c r="O4" s="6">
        <f t="shared" si="7"/>
        <v>49</v>
      </c>
      <c r="P4" s="6">
        <f t="shared" si="8"/>
        <v>47.828125</v>
      </c>
      <c r="Q4" s="6"/>
      <c r="R4" s="6"/>
    </row>
    <row r="5" spans="1:18">
      <c r="A5" s="1">
        <v>4</v>
      </c>
      <c r="B5" s="2">
        <v>148</v>
      </c>
      <c r="C5" s="3">
        <v>20</v>
      </c>
      <c r="D5" s="4">
        <v>60</v>
      </c>
      <c r="E5" s="5">
        <f t="shared" si="0"/>
        <v>1200000</v>
      </c>
      <c r="F5" s="1">
        <f t="shared" si="1"/>
        <v>4799</v>
      </c>
      <c r="H5" s="6">
        <f t="shared" si="9"/>
        <v>2399</v>
      </c>
      <c r="I5" s="1">
        <f t="shared" si="2"/>
        <v>1999</v>
      </c>
      <c r="J5" s="1">
        <f t="shared" si="3"/>
        <v>1199</v>
      </c>
      <c r="K5" s="6">
        <f t="shared" si="4"/>
        <v>299</v>
      </c>
      <c r="L5" s="6">
        <f t="shared" si="5"/>
        <v>199</v>
      </c>
      <c r="M5" s="1">
        <f t="shared" si="6"/>
        <v>149</v>
      </c>
      <c r="O5" s="6">
        <f t="shared" si="7"/>
        <v>74</v>
      </c>
      <c r="P5" s="6">
        <f t="shared" si="8"/>
        <v>72.2421875</v>
      </c>
      <c r="Q5" s="6"/>
      <c r="R5" s="6"/>
    </row>
    <row r="6" spans="1:18">
      <c r="A6" s="1">
        <v>5</v>
      </c>
      <c r="B6" s="2">
        <v>173</v>
      </c>
      <c r="C6" s="3">
        <v>20</v>
      </c>
      <c r="D6" s="4">
        <v>80</v>
      </c>
      <c r="E6" s="5">
        <f t="shared" si="0"/>
        <v>1600000</v>
      </c>
      <c r="F6" s="1">
        <f t="shared" si="1"/>
        <v>6399</v>
      </c>
      <c r="H6" s="6">
        <f t="shared" si="9"/>
        <v>3199</v>
      </c>
      <c r="I6" s="1">
        <f t="shared" si="2"/>
        <v>2665.6666666666665</v>
      </c>
      <c r="J6" s="1">
        <f t="shared" si="3"/>
        <v>1599</v>
      </c>
      <c r="K6" s="6">
        <f t="shared" si="4"/>
        <v>399</v>
      </c>
      <c r="L6" s="6">
        <f t="shared" si="5"/>
        <v>265.66666666666669</v>
      </c>
      <c r="M6" s="1">
        <f t="shared" si="6"/>
        <v>199</v>
      </c>
      <c r="O6" s="6">
        <f t="shared" si="7"/>
        <v>99</v>
      </c>
      <c r="P6" s="6">
        <f t="shared" si="8"/>
        <v>96.65625</v>
      </c>
      <c r="Q6" s="6"/>
      <c r="R6" s="6"/>
    </row>
    <row r="7" spans="1:18">
      <c r="A7" s="1">
        <v>6</v>
      </c>
      <c r="B7" s="2">
        <v>153</v>
      </c>
      <c r="C7" s="3">
        <v>20</v>
      </c>
      <c r="D7" s="4">
        <v>100</v>
      </c>
      <c r="E7" s="5">
        <f t="shared" si="0"/>
        <v>2000000</v>
      </c>
      <c r="F7" s="1">
        <f t="shared" si="1"/>
        <v>7999</v>
      </c>
      <c r="H7" s="6">
        <f t="shared" si="9"/>
        <v>3999</v>
      </c>
      <c r="I7" s="1">
        <f t="shared" si="2"/>
        <v>3332.3333333333335</v>
      </c>
      <c r="J7" s="1">
        <f t="shared" si="3"/>
        <v>1999</v>
      </c>
      <c r="K7" s="6">
        <f t="shared" si="4"/>
        <v>499</v>
      </c>
      <c r="L7" s="6">
        <f t="shared" si="5"/>
        <v>332.33333333333331</v>
      </c>
      <c r="M7" s="1">
        <f t="shared" si="6"/>
        <v>249</v>
      </c>
      <c r="O7" s="6">
        <f t="shared" si="7"/>
        <v>124</v>
      </c>
      <c r="P7" s="6">
        <f t="shared" si="8"/>
        <v>121.0703125</v>
      </c>
      <c r="Q7" s="6"/>
      <c r="R7" s="6"/>
    </row>
    <row r="8" spans="1:18">
      <c r="A8" s="1">
        <v>7</v>
      </c>
      <c r="B8" s="2">
        <v>167</v>
      </c>
      <c r="C8" s="3">
        <v>20</v>
      </c>
      <c r="D8" s="4">
        <v>150</v>
      </c>
      <c r="E8" s="5">
        <f t="shared" si="0"/>
        <v>3000000</v>
      </c>
      <c r="F8" s="1">
        <f t="shared" si="1"/>
        <v>11999</v>
      </c>
      <c r="H8" s="6">
        <f t="shared" si="9"/>
        <v>5999</v>
      </c>
      <c r="I8" s="1">
        <f t="shared" si="2"/>
        <v>4999</v>
      </c>
      <c r="J8" s="1">
        <f t="shared" si="3"/>
        <v>2999</v>
      </c>
      <c r="K8" s="6">
        <f t="shared" si="4"/>
        <v>749</v>
      </c>
      <c r="L8" s="6">
        <f t="shared" si="5"/>
        <v>499</v>
      </c>
      <c r="M8" s="1">
        <f t="shared" si="6"/>
        <v>374</v>
      </c>
      <c r="O8" s="6">
        <f t="shared" si="7"/>
        <v>186.5</v>
      </c>
      <c r="P8" s="6">
        <f t="shared" si="8"/>
        <v>182.10546875</v>
      </c>
      <c r="Q8" s="6"/>
      <c r="R8" s="6"/>
    </row>
    <row r="9" spans="1:18">
      <c r="A9" s="1">
        <v>8</v>
      </c>
      <c r="B9" s="2">
        <v>593</v>
      </c>
      <c r="C9" s="3">
        <v>30</v>
      </c>
      <c r="D9" s="4">
        <v>20</v>
      </c>
      <c r="E9" s="5">
        <f t="shared" si="0"/>
        <v>600000</v>
      </c>
      <c r="F9" s="1">
        <f t="shared" si="1"/>
        <v>2399</v>
      </c>
      <c r="H9" s="6">
        <f t="shared" si="9"/>
        <v>1199</v>
      </c>
      <c r="I9" s="1">
        <f t="shared" si="2"/>
        <v>999</v>
      </c>
      <c r="J9" s="1">
        <f t="shared" si="3"/>
        <v>599</v>
      </c>
      <c r="K9" s="1">
        <f t="shared" si="4"/>
        <v>149</v>
      </c>
      <c r="L9" s="6">
        <f t="shared" si="5"/>
        <v>99</v>
      </c>
      <c r="M9" s="6">
        <f t="shared" si="6"/>
        <v>74</v>
      </c>
      <c r="N9" s="6"/>
      <c r="O9" s="6">
        <f t="shared" si="7"/>
        <v>36.5</v>
      </c>
      <c r="P9" s="6">
        <f t="shared" si="8"/>
        <v>35.62109375</v>
      </c>
      <c r="Q9" s="6"/>
      <c r="R9" s="6"/>
    </row>
    <row r="10" spans="1:18">
      <c r="A10" s="1">
        <v>9</v>
      </c>
      <c r="B10" s="2">
        <v>190</v>
      </c>
      <c r="C10" s="3">
        <v>30</v>
      </c>
      <c r="D10" s="4">
        <v>40</v>
      </c>
      <c r="E10" s="5">
        <f t="shared" si="0"/>
        <v>1200000</v>
      </c>
      <c r="F10" s="1">
        <f t="shared" si="1"/>
        <v>4799</v>
      </c>
      <c r="H10" s="6">
        <f t="shared" si="9"/>
        <v>2399</v>
      </c>
      <c r="I10" s="1">
        <f t="shared" si="2"/>
        <v>1999</v>
      </c>
      <c r="J10" s="1">
        <f t="shared" si="3"/>
        <v>1199</v>
      </c>
      <c r="K10" s="6">
        <f t="shared" si="4"/>
        <v>299</v>
      </c>
      <c r="L10" s="6">
        <f t="shared" si="5"/>
        <v>199</v>
      </c>
      <c r="M10" s="1">
        <f t="shared" si="6"/>
        <v>149</v>
      </c>
      <c r="O10" s="6">
        <f t="shared" si="7"/>
        <v>74</v>
      </c>
      <c r="P10" s="6">
        <f t="shared" si="8"/>
        <v>72.2421875</v>
      </c>
      <c r="Q10" s="6"/>
      <c r="R10" s="6"/>
    </row>
    <row r="11" spans="1:18">
      <c r="A11" s="1">
        <v>10</v>
      </c>
      <c r="B11" s="2">
        <v>191</v>
      </c>
      <c r="C11" s="3">
        <v>30</v>
      </c>
      <c r="D11" s="4">
        <v>60</v>
      </c>
      <c r="E11" s="5">
        <f t="shared" si="0"/>
        <v>1800000</v>
      </c>
      <c r="F11" s="1">
        <f t="shared" si="1"/>
        <v>7199</v>
      </c>
      <c r="H11" s="6">
        <f t="shared" si="9"/>
        <v>3599</v>
      </c>
      <c r="I11" s="1">
        <f t="shared" si="2"/>
        <v>2999</v>
      </c>
      <c r="J11" s="1">
        <f t="shared" si="3"/>
        <v>1799</v>
      </c>
      <c r="K11" s="1">
        <f t="shared" si="4"/>
        <v>449</v>
      </c>
      <c r="L11" s="6">
        <f t="shared" si="5"/>
        <v>299</v>
      </c>
      <c r="M11" s="6">
        <f t="shared" si="6"/>
        <v>224</v>
      </c>
      <c r="N11" s="6"/>
      <c r="O11" s="6">
        <f t="shared" si="7"/>
        <v>111.5</v>
      </c>
      <c r="P11" s="6">
        <f t="shared" si="8"/>
        <v>108.86328125</v>
      </c>
      <c r="Q11" s="6"/>
      <c r="R11" s="6"/>
    </row>
    <row r="12" spans="1:18">
      <c r="A12" s="1">
        <v>11</v>
      </c>
      <c r="B12" s="2">
        <v>164</v>
      </c>
      <c r="C12" s="3">
        <v>30</v>
      </c>
      <c r="D12" s="4">
        <v>80</v>
      </c>
      <c r="E12" s="5">
        <f t="shared" si="0"/>
        <v>2400000</v>
      </c>
      <c r="F12" s="1">
        <f t="shared" si="1"/>
        <v>9599</v>
      </c>
      <c r="H12" s="6">
        <f t="shared" si="9"/>
        <v>4799</v>
      </c>
      <c r="I12" s="1">
        <f t="shared" si="2"/>
        <v>3999</v>
      </c>
      <c r="J12" s="1">
        <f t="shared" si="3"/>
        <v>2399</v>
      </c>
      <c r="K12" s="6">
        <f t="shared" si="4"/>
        <v>599</v>
      </c>
      <c r="L12" s="6">
        <f t="shared" si="5"/>
        <v>399</v>
      </c>
      <c r="M12" s="1">
        <f t="shared" si="6"/>
        <v>299</v>
      </c>
      <c r="O12" s="6">
        <f t="shared" si="7"/>
        <v>149</v>
      </c>
      <c r="P12" s="6">
        <f t="shared" si="8"/>
        <v>145.484375</v>
      </c>
      <c r="Q12" s="6"/>
      <c r="R12" s="6"/>
    </row>
    <row r="13" spans="1:18">
      <c r="A13" s="1">
        <v>12</v>
      </c>
      <c r="B13" s="2">
        <v>153</v>
      </c>
      <c r="C13" s="3">
        <v>30</v>
      </c>
      <c r="D13" s="4">
        <v>100</v>
      </c>
      <c r="E13" s="5">
        <f t="shared" si="0"/>
        <v>3000000</v>
      </c>
      <c r="F13" s="1">
        <f t="shared" si="1"/>
        <v>11999</v>
      </c>
      <c r="H13" s="6">
        <f t="shared" si="9"/>
        <v>5999</v>
      </c>
      <c r="I13" s="1">
        <f t="shared" si="2"/>
        <v>4999</v>
      </c>
      <c r="J13" s="1">
        <f t="shared" si="3"/>
        <v>2999</v>
      </c>
      <c r="K13" s="1">
        <f t="shared" si="4"/>
        <v>749</v>
      </c>
      <c r="L13" s="6">
        <f t="shared" si="5"/>
        <v>499</v>
      </c>
      <c r="M13" s="1">
        <f t="shared" si="6"/>
        <v>374</v>
      </c>
      <c r="O13" s="6">
        <f t="shared" si="7"/>
        <v>186.5</v>
      </c>
      <c r="P13" s="6">
        <f t="shared" si="8"/>
        <v>182.10546875</v>
      </c>
      <c r="Q13" s="6"/>
      <c r="R13" s="6"/>
    </row>
    <row r="14" spans="1:18">
      <c r="A14" s="1">
        <v>13</v>
      </c>
      <c r="B14" s="2">
        <v>189</v>
      </c>
      <c r="C14" s="3">
        <v>30</v>
      </c>
      <c r="D14" s="4">
        <v>150</v>
      </c>
      <c r="E14" s="5">
        <f t="shared" si="0"/>
        <v>4500000</v>
      </c>
      <c r="F14" s="1">
        <f t="shared" si="1"/>
        <v>17999</v>
      </c>
      <c r="H14" s="6">
        <f t="shared" si="9"/>
        <v>8999</v>
      </c>
      <c r="I14" s="1">
        <f t="shared" si="2"/>
        <v>7499</v>
      </c>
      <c r="J14" s="1">
        <f t="shared" si="3"/>
        <v>4499</v>
      </c>
      <c r="K14" s="1">
        <f t="shared" si="4"/>
        <v>1124</v>
      </c>
      <c r="L14" s="6">
        <f t="shared" si="5"/>
        <v>749</v>
      </c>
      <c r="M14" s="1">
        <f t="shared" si="6"/>
        <v>561.5</v>
      </c>
      <c r="O14" s="6">
        <f t="shared" si="7"/>
        <v>280.25</v>
      </c>
      <c r="P14" s="6">
        <f t="shared" si="8"/>
        <v>273.658203125</v>
      </c>
      <c r="Q14" s="6"/>
      <c r="R14" s="6"/>
    </row>
    <row r="15" spans="1:18">
      <c r="A15" s="1">
        <v>14</v>
      </c>
      <c r="B15" s="2">
        <v>264</v>
      </c>
      <c r="C15" s="3">
        <v>40</v>
      </c>
      <c r="D15" s="4">
        <v>20</v>
      </c>
      <c r="E15" s="5">
        <f t="shared" si="0"/>
        <v>800000</v>
      </c>
      <c r="F15" s="1">
        <f t="shared" si="1"/>
        <v>3199</v>
      </c>
      <c r="H15" s="6">
        <f t="shared" si="9"/>
        <v>1599</v>
      </c>
      <c r="I15" s="1">
        <f t="shared" si="2"/>
        <v>1332.3333333333333</v>
      </c>
      <c r="J15" s="1">
        <f t="shared" si="3"/>
        <v>799</v>
      </c>
      <c r="K15" s="1">
        <f t="shared" si="4"/>
        <v>199</v>
      </c>
      <c r="L15" s="6">
        <f t="shared" si="5"/>
        <v>132.33333333333334</v>
      </c>
      <c r="M15" s="6">
        <f t="shared" si="6"/>
        <v>99</v>
      </c>
      <c r="N15" s="6"/>
      <c r="O15" s="6">
        <f t="shared" si="7"/>
        <v>49</v>
      </c>
      <c r="P15" s="6">
        <f t="shared" si="8"/>
        <v>47.828125</v>
      </c>
      <c r="Q15" s="6"/>
      <c r="R15" s="6"/>
    </row>
    <row r="16" spans="1:18">
      <c r="A16" s="1">
        <v>15</v>
      </c>
      <c r="B16" s="2">
        <v>144</v>
      </c>
      <c r="C16" s="3">
        <v>40</v>
      </c>
      <c r="D16" s="4">
        <v>40</v>
      </c>
      <c r="E16" s="5">
        <f t="shared" si="0"/>
        <v>1600000</v>
      </c>
      <c r="F16" s="1">
        <f t="shared" si="1"/>
        <v>6399</v>
      </c>
      <c r="H16" s="6">
        <f t="shared" si="9"/>
        <v>3199</v>
      </c>
      <c r="I16" s="1">
        <f t="shared" si="2"/>
        <v>2665.6666666666665</v>
      </c>
      <c r="J16" s="1">
        <f t="shared" si="3"/>
        <v>1599</v>
      </c>
      <c r="K16" s="1">
        <f t="shared" si="4"/>
        <v>399</v>
      </c>
      <c r="L16" s="6">
        <f t="shared" si="5"/>
        <v>265.66666666666669</v>
      </c>
      <c r="M16" s="6">
        <f t="shared" si="6"/>
        <v>199</v>
      </c>
      <c r="N16" s="6"/>
      <c r="O16" s="6">
        <f t="shared" si="7"/>
        <v>99</v>
      </c>
      <c r="P16" s="6">
        <f t="shared" si="8"/>
        <v>96.65625</v>
      </c>
      <c r="Q16" s="6"/>
      <c r="R16" s="6"/>
    </row>
    <row r="17" spans="1:18">
      <c r="A17" s="1">
        <v>16</v>
      </c>
      <c r="B17" s="2">
        <v>151</v>
      </c>
      <c r="C17" s="3">
        <v>40</v>
      </c>
      <c r="D17" s="4">
        <v>60</v>
      </c>
      <c r="E17" s="5">
        <f t="shared" si="0"/>
        <v>2400000</v>
      </c>
      <c r="F17" s="1">
        <f t="shared" si="1"/>
        <v>9599</v>
      </c>
      <c r="H17" s="6">
        <f t="shared" si="9"/>
        <v>4799</v>
      </c>
      <c r="I17" s="1">
        <f t="shared" si="2"/>
        <v>3999</v>
      </c>
      <c r="J17" s="1">
        <f t="shared" si="3"/>
        <v>2399</v>
      </c>
      <c r="K17" s="1">
        <f t="shared" si="4"/>
        <v>599</v>
      </c>
      <c r="L17" s="6">
        <f t="shared" si="5"/>
        <v>399</v>
      </c>
      <c r="M17" s="6">
        <f t="shared" si="6"/>
        <v>299</v>
      </c>
      <c r="N17" s="6"/>
      <c r="O17" s="6">
        <f t="shared" si="7"/>
        <v>149</v>
      </c>
      <c r="P17" s="6">
        <f t="shared" si="8"/>
        <v>145.484375</v>
      </c>
      <c r="Q17" s="6"/>
      <c r="R17" s="6"/>
    </row>
    <row r="18" spans="1:18">
      <c r="A18" s="1">
        <v>17</v>
      </c>
      <c r="B18" s="2">
        <v>171</v>
      </c>
      <c r="C18" s="3">
        <v>40</v>
      </c>
      <c r="D18" s="4">
        <v>80</v>
      </c>
      <c r="E18" s="5">
        <f t="shared" si="0"/>
        <v>3200000</v>
      </c>
      <c r="F18" s="1">
        <f t="shared" si="1"/>
        <v>12799</v>
      </c>
      <c r="H18" s="6">
        <f t="shared" si="9"/>
        <v>6399</v>
      </c>
      <c r="I18" s="1">
        <f t="shared" si="2"/>
        <v>5332.333333333333</v>
      </c>
      <c r="J18" s="1">
        <f t="shared" si="3"/>
        <v>3199</v>
      </c>
      <c r="K18" s="1">
        <f t="shared" si="4"/>
        <v>799</v>
      </c>
      <c r="L18" s="6">
        <f t="shared" si="5"/>
        <v>532.33333333333337</v>
      </c>
      <c r="M18" s="6">
        <f t="shared" si="6"/>
        <v>399</v>
      </c>
      <c r="N18" s="6"/>
      <c r="O18" s="6">
        <f t="shared" si="7"/>
        <v>199</v>
      </c>
      <c r="P18" s="6">
        <f t="shared" si="8"/>
        <v>194.3125</v>
      </c>
      <c r="Q18" s="6"/>
      <c r="R18" s="6"/>
    </row>
    <row r="19" spans="1:18">
      <c r="A19" s="1">
        <v>18</v>
      </c>
      <c r="B19" s="2">
        <v>173</v>
      </c>
      <c r="C19" s="3">
        <v>40</v>
      </c>
      <c r="D19" s="4">
        <v>100</v>
      </c>
      <c r="E19" s="5">
        <f t="shared" si="0"/>
        <v>4000000</v>
      </c>
      <c r="F19" s="1">
        <f t="shared" si="1"/>
        <v>15999</v>
      </c>
      <c r="H19" s="6">
        <f t="shared" si="9"/>
        <v>7999</v>
      </c>
      <c r="I19" s="1">
        <f t="shared" si="2"/>
        <v>6665.666666666667</v>
      </c>
      <c r="J19" s="1">
        <f t="shared" si="3"/>
        <v>3999</v>
      </c>
      <c r="K19" s="1">
        <f t="shared" si="4"/>
        <v>999</v>
      </c>
      <c r="L19" s="6">
        <f t="shared" si="5"/>
        <v>665.66666666666663</v>
      </c>
      <c r="M19" s="6">
        <f t="shared" si="6"/>
        <v>499</v>
      </c>
      <c r="N19" s="6"/>
      <c r="O19" s="6">
        <f t="shared" si="7"/>
        <v>249</v>
      </c>
      <c r="P19" s="6">
        <f t="shared" si="8"/>
        <v>243.140625</v>
      </c>
      <c r="Q19" s="6"/>
      <c r="R19" s="6"/>
    </row>
    <row r="20" spans="1:18">
      <c r="A20" s="1">
        <v>19</v>
      </c>
      <c r="B20" s="2">
        <v>152</v>
      </c>
      <c r="C20" s="3">
        <v>40</v>
      </c>
      <c r="D20" s="4">
        <v>150</v>
      </c>
      <c r="E20" s="5">
        <f t="shared" si="0"/>
        <v>6000000</v>
      </c>
      <c r="F20" s="1">
        <f t="shared" si="1"/>
        <v>23999</v>
      </c>
      <c r="H20" s="6">
        <f t="shared" si="9"/>
        <v>11999</v>
      </c>
      <c r="I20" s="1">
        <f t="shared" si="2"/>
        <v>9999</v>
      </c>
      <c r="J20" s="1">
        <f t="shared" si="3"/>
        <v>5999</v>
      </c>
      <c r="K20" s="1">
        <f t="shared" si="4"/>
        <v>1499</v>
      </c>
      <c r="L20" s="6">
        <f t="shared" si="5"/>
        <v>999</v>
      </c>
      <c r="M20" s="6">
        <f t="shared" si="6"/>
        <v>749</v>
      </c>
      <c r="N20" s="6"/>
      <c r="O20" s="6">
        <f t="shared" si="7"/>
        <v>374</v>
      </c>
      <c r="P20" s="6">
        <f t="shared" si="8"/>
        <v>365.2109375</v>
      </c>
      <c r="Q20" s="6"/>
      <c r="R20" s="6"/>
    </row>
    <row r="21" spans="1:18">
      <c r="A21" s="1">
        <v>20</v>
      </c>
      <c r="B21" s="2">
        <v>345</v>
      </c>
      <c r="C21" s="3">
        <v>50</v>
      </c>
      <c r="D21" s="4">
        <v>20</v>
      </c>
      <c r="E21" s="5">
        <f t="shared" si="0"/>
        <v>1000000</v>
      </c>
      <c r="F21" s="1">
        <f t="shared" si="1"/>
        <v>3999</v>
      </c>
      <c r="H21" s="6">
        <f t="shared" si="9"/>
        <v>1999</v>
      </c>
      <c r="I21" s="1">
        <f t="shared" si="2"/>
        <v>1665.6666666666667</v>
      </c>
      <c r="J21" s="1">
        <f t="shared" si="3"/>
        <v>999</v>
      </c>
      <c r="K21" s="1">
        <f t="shared" si="4"/>
        <v>249</v>
      </c>
      <c r="L21" s="6">
        <f t="shared" si="5"/>
        <v>165.66666666666666</v>
      </c>
      <c r="M21" s="1">
        <f t="shared" si="6"/>
        <v>124</v>
      </c>
      <c r="N21" s="6">
        <f t="shared" ref="N21:N26" si="10">1+(E21-$N$1)/((1-0.5)*$N$1)</f>
        <v>99</v>
      </c>
      <c r="O21" s="6">
        <f t="shared" si="7"/>
        <v>61.5</v>
      </c>
      <c r="P21" s="6">
        <f t="shared" si="8"/>
        <v>60.03515625</v>
      </c>
      <c r="Q21" s="6"/>
      <c r="R21" s="6"/>
    </row>
    <row r="22" spans="1:18">
      <c r="A22" s="1">
        <v>21</v>
      </c>
      <c r="B22" s="2">
        <v>162</v>
      </c>
      <c r="C22" s="3">
        <v>50</v>
      </c>
      <c r="D22" s="4">
        <v>40</v>
      </c>
      <c r="E22" s="5">
        <f t="shared" si="0"/>
        <v>2000000</v>
      </c>
      <c r="F22" s="1">
        <f t="shared" si="1"/>
        <v>7999</v>
      </c>
      <c r="H22" s="6">
        <f t="shared" si="9"/>
        <v>3999</v>
      </c>
      <c r="I22" s="1">
        <f t="shared" si="2"/>
        <v>3332.3333333333335</v>
      </c>
      <c r="J22" s="1">
        <f t="shared" si="3"/>
        <v>1999</v>
      </c>
      <c r="K22" s="1">
        <f t="shared" si="4"/>
        <v>499</v>
      </c>
      <c r="L22" s="6">
        <f t="shared" si="5"/>
        <v>332.33333333333331</v>
      </c>
      <c r="M22" s="1">
        <f t="shared" si="6"/>
        <v>249</v>
      </c>
      <c r="N22" s="6">
        <f t="shared" si="10"/>
        <v>199</v>
      </c>
      <c r="O22" s="6">
        <f t="shared" si="7"/>
        <v>124</v>
      </c>
      <c r="P22" s="6">
        <f t="shared" si="8"/>
        <v>121.0703125</v>
      </c>
      <c r="Q22" s="6"/>
      <c r="R22" s="6"/>
    </row>
    <row r="23" spans="1:18">
      <c r="A23" s="1">
        <v>22</v>
      </c>
      <c r="B23" s="2">
        <v>158</v>
      </c>
      <c r="C23" s="3">
        <v>50</v>
      </c>
      <c r="D23" s="4">
        <v>60</v>
      </c>
      <c r="E23" s="5">
        <f t="shared" si="0"/>
        <v>3000000</v>
      </c>
      <c r="F23" s="1">
        <f t="shared" si="1"/>
        <v>11999</v>
      </c>
      <c r="H23" s="6">
        <f t="shared" si="9"/>
        <v>5999</v>
      </c>
      <c r="I23" s="1">
        <f t="shared" si="2"/>
        <v>4999</v>
      </c>
      <c r="J23" s="1">
        <f t="shared" si="3"/>
        <v>2999</v>
      </c>
      <c r="K23" s="1">
        <f t="shared" si="4"/>
        <v>749</v>
      </c>
      <c r="L23" s="6">
        <f t="shared" si="5"/>
        <v>499</v>
      </c>
      <c r="M23" s="6">
        <f t="shared" si="6"/>
        <v>374</v>
      </c>
      <c r="N23" s="6">
        <f t="shared" si="10"/>
        <v>299</v>
      </c>
      <c r="O23" s="6">
        <f t="shared" si="7"/>
        <v>186.5</v>
      </c>
      <c r="P23" s="6">
        <f t="shared" si="8"/>
        <v>182.10546875</v>
      </c>
      <c r="Q23" s="6"/>
      <c r="R23" s="6"/>
    </row>
    <row r="24" spans="1:18">
      <c r="A24" s="1">
        <v>23</v>
      </c>
      <c r="B24" s="2">
        <v>155</v>
      </c>
      <c r="C24" s="3">
        <v>50</v>
      </c>
      <c r="D24" s="4">
        <v>80</v>
      </c>
      <c r="E24" s="5">
        <f t="shared" si="0"/>
        <v>4000000</v>
      </c>
      <c r="F24" s="1">
        <f t="shared" si="1"/>
        <v>15999</v>
      </c>
      <c r="H24" s="6">
        <f t="shared" si="9"/>
        <v>7999</v>
      </c>
      <c r="I24" s="1">
        <f t="shared" si="2"/>
        <v>6665.666666666667</v>
      </c>
      <c r="J24" s="1">
        <f t="shared" si="3"/>
        <v>3999</v>
      </c>
      <c r="K24" s="1">
        <f t="shared" si="4"/>
        <v>999</v>
      </c>
      <c r="L24" s="6">
        <f t="shared" si="5"/>
        <v>665.66666666666663</v>
      </c>
      <c r="M24" s="6">
        <f t="shared" si="6"/>
        <v>499</v>
      </c>
      <c r="N24" s="6">
        <f t="shared" si="10"/>
        <v>399</v>
      </c>
      <c r="O24" s="6">
        <f t="shared" si="7"/>
        <v>249</v>
      </c>
      <c r="P24" s="6">
        <f t="shared" si="8"/>
        <v>243.140625</v>
      </c>
      <c r="Q24" s="6"/>
      <c r="R24" s="6"/>
    </row>
    <row r="25" spans="1:18">
      <c r="A25" s="1">
        <v>24</v>
      </c>
      <c r="B25" s="2">
        <v>171</v>
      </c>
      <c r="C25" s="3">
        <v>50</v>
      </c>
      <c r="D25" s="4">
        <v>100</v>
      </c>
      <c r="E25" s="5">
        <f t="shared" si="0"/>
        <v>5000000</v>
      </c>
      <c r="F25" s="1">
        <f t="shared" si="1"/>
        <v>19999</v>
      </c>
      <c r="H25" s="6">
        <f t="shared" si="9"/>
        <v>9999</v>
      </c>
      <c r="I25" s="1">
        <f t="shared" si="2"/>
        <v>8332.3333333333339</v>
      </c>
      <c r="J25" s="1">
        <f t="shared" si="3"/>
        <v>4999</v>
      </c>
      <c r="K25" s="1">
        <f t="shared" si="4"/>
        <v>1249</v>
      </c>
      <c r="L25" s="6">
        <f t="shared" si="5"/>
        <v>832.33333333333337</v>
      </c>
      <c r="M25" s="1">
        <f t="shared" si="6"/>
        <v>624</v>
      </c>
      <c r="N25" s="6">
        <f t="shared" si="10"/>
        <v>499</v>
      </c>
      <c r="O25" s="6">
        <f t="shared" si="7"/>
        <v>311.5</v>
      </c>
      <c r="P25" s="6">
        <f t="shared" si="8"/>
        <v>304.17578125</v>
      </c>
      <c r="Q25" s="6"/>
      <c r="R25" s="6"/>
    </row>
    <row r="26" spans="1:18">
      <c r="A26" s="1">
        <v>25</v>
      </c>
      <c r="B26" s="2">
        <v>191</v>
      </c>
      <c r="C26" s="3">
        <v>50</v>
      </c>
      <c r="D26" s="4">
        <v>150</v>
      </c>
      <c r="E26" s="5">
        <f t="shared" si="0"/>
        <v>7500000</v>
      </c>
      <c r="F26" s="1">
        <f t="shared" si="1"/>
        <v>29999</v>
      </c>
      <c r="H26" s="6">
        <f t="shared" si="9"/>
        <v>14999</v>
      </c>
      <c r="I26" s="1">
        <f t="shared" si="2"/>
        <v>12499</v>
      </c>
      <c r="J26" s="1">
        <f t="shared" si="3"/>
        <v>7499</v>
      </c>
      <c r="K26" s="1">
        <f t="shared" si="4"/>
        <v>1874</v>
      </c>
      <c r="L26" s="6">
        <f t="shared" si="5"/>
        <v>1249</v>
      </c>
      <c r="M26" s="1">
        <f t="shared" si="6"/>
        <v>936.5</v>
      </c>
      <c r="N26" s="6">
        <f t="shared" si="10"/>
        <v>749</v>
      </c>
      <c r="O26" s="6">
        <f t="shared" si="7"/>
        <v>467.75</v>
      </c>
      <c r="P26" s="6">
        <f t="shared" si="8"/>
        <v>456.763671875</v>
      </c>
      <c r="Q26" s="6"/>
      <c r="R26" s="6"/>
    </row>
    <row r="27" spans="1:18">
      <c r="A27" s="1">
        <v>26</v>
      </c>
      <c r="B27" s="2">
        <v>162</v>
      </c>
      <c r="C27" s="3">
        <v>80</v>
      </c>
      <c r="D27" s="4">
        <v>20</v>
      </c>
      <c r="E27" s="5">
        <f t="shared" si="0"/>
        <v>1600000</v>
      </c>
      <c r="F27" s="1">
        <f t="shared" si="1"/>
        <v>6399</v>
      </c>
      <c r="H27" s="6">
        <f t="shared" si="9"/>
        <v>3199</v>
      </c>
      <c r="I27" s="1">
        <f t="shared" si="2"/>
        <v>2665.6666666666665</v>
      </c>
      <c r="J27" s="1">
        <f t="shared" si="3"/>
        <v>1599</v>
      </c>
      <c r="K27" s="1">
        <f t="shared" si="4"/>
        <v>399</v>
      </c>
      <c r="L27" s="6">
        <f t="shared" si="5"/>
        <v>265.66666666666669</v>
      </c>
      <c r="M27" s="1">
        <f t="shared" si="6"/>
        <v>199</v>
      </c>
      <c r="O27" s="6">
        <f t="shared" si="7"/>
        <v>99</v>
      </c>
      <c r="P27" s="6">
        <f t="shared" si="8"/>
        <v>96.65625</v>
      </c>
      <c r="Q27" s="6"/>
      <c r="R27" s="6"/>
    </row>
    <row r="28" spans="1:18">
      <c r="A28" s="1">
        <v>27</v>
      </c>
      <c r="B28" s="2">
        <v>173</v>
      </c>
      <c r="C28" s="3">
        <v>80</v>
      </c>
      <c r="D28" s="4">
        <v>40</v>
      </c>
      <c r="E28" s="5">
        <f t="shared" si="0"/>
        <v>3200000</v>
      </c>
      <c r="F28" s="1">
        <f t="shared" si="1"/>
        <v>12799</v>
      </c>
      <c r="H28" s="6">
        <f t="shared" si="9"/>
        <v>6399</v>
      </c>
      <c r="I28" s="1">
        <f t="shared" si="2"/>
        <v>5332.333333333333</v>
      </c>
      <c r="J28" s="1">
        <f t="shared" si="3"/>
        <v>3199</v>
      </c>
      <c r="K28" s="1">
        <f t="shared" si="4"/>
        <v>799</v>
      </c>
      <c r="L28" s="6">
        <f t="shared" si="5"/>
        <v>532.33333333333337</v>
      </c>
      <c r="M28" s="1">
        <f t="shared" si="6"/>
        <v>399</v>
      </c>
      <c r="O28" s="6">
        <f t="shared" si="7"/>
        <v>199</v>
      </c>
      <c r="P28" s="6">
        <f t="shared" si="8"/>
        <v>194.3125</v>
      </c>
      <c r="Q28" s="6"/>
      <c r="R28" s="6"/>
    </row>
    <row r="29" spans="1:18">
      <c r="A29" s="1">
        <v>28</v>
      </c>
      <c r="B29" s="2">
        <v>150</v>
      </c>
      <c r="C29" s="3">
        <v>80</v>
      </c>
      <c r="D29" s="4">
        <v>60</v>
      </c>
      <c r="E29" s="5">
        <f t="shared" si="0"/>
        <v>4800000</v>
      </c>
      <c r="F29" s="1">
        <f t="shared" si="1"/>
        <v>19199</v>
      </c>
      <c r="H29" s="6">
        <f t="shared" si="9"/>
        <v>9599</v>
      </c>
      <c r="I29" s="1">
        <f t="shared" si="2"/>
        <v>7999</v>
      </c>
      <c r="J29" s="1">
        <f t="shared" si="3"/>
        <v>4799</v>
      </c>
      <c r="K29" s="1">
        <f t="shared" si="4"/>
        <v>1199</v>
      </c>
      <c r="L29" s="6">
        <f t="shared" si="5"/>
        <v>799</v>
      </c>
      <c r="M29" s="1">
        <f t="shared" si="6"/>
        <v>599</v>
      </c>
      <c r="O29" s="6">
        <f t="shared" si="7"/>
        <v>299</v>
      </c>
      <c r="P29" s="6">
        <f t="shared" si="8"/>
        <v>291.96875</v>
      </c>
      <c r="Q29" s="6"/>
      <c r="R29" s="6"/>
    </row>
    <row r="30" spans="1:18">
      <c r="A30" s="1">
        <v>29</v>
      </c>
      <c r="B30" s="2">
        <v>168</v>
      </c>
      <c r="C30" s="3">
        <v>80</v>
      </c>
      <c r="D30" s="4">
        <v>80</v>
      </c>
      <c r="E30" s="5">
        <f t="shared" si="0"/>
        <v>6400000</v>
      </c>
      <c r="F30" s="1">
        <f t="shared" si="1"/>
        <v>25599</v>
      </c>
      <c r="H30" s="6">
        <f t="shared" si="9"/>
        <v>12799</v>
      </c>
      <c r="I30" s="1">
        <f t="shared" si="2"/>
        <v>10665.666666666666</v>
      </c>
      <c r="J30" s="1">
        <f t="shared" si="3"/>
        <v>6399</v>
      </c>
      <c r="K30" s="1">
        <f t="shared" si="4"/>
        <v>1599</v>
      </c>
      <c r="L30" s="6">
        <f t="shared" si="5"/>
        <v>1065.6666666666667</v>
      </c>
      <c r="M30" s="1">
        <f t="shared" si="6"/>
        <v>799</v>
      </c>
      <c r="O30" s="6">
        <f t="shared" si="7"/>
        <v>399</v>
      </c>
      <c r="P30" s="6">
        <f t="shared" si="8"/>
        <v>389.625</v>
      </c>
      <c r="Q30" s="6"/>
      <c r="R30" s="6"/>
    </row>
    <row r="31" spans="1:18">
      <c r="A31" s="1">
        <v>30</v>
      </c>
      <c r="B31" s="2">
        <v>163</v>
      </c>
      <c r="C31" s="3">
        <v>80</v>
      </c>
      <c r="D31" s="4">
        <v>100</v>
      </c>
      <c r="E31" s="5">
        <f t="shared" si="0"/>
        <v>8000000</v>
      </c>
      <c r="F31" s="1">
        <f t="shared" si="1"/>
        <v>31999</v>
      </c>
      <c r="H31" s="6">
        <f t="shared" si="9"/>
        <v>15999</v>
      </c>
      <c r="I31" s="1">
        <f t="shared" si="2"/>
        <v>13332.333333333334</v>
      </c>
      <c r="J31" s="1">
        <f t="shared" si="3"/>
        <v>7999</v>
      </c>
      <c r="K31" s="1">
        <f t="shared" si="4"/>
        <v>1999</v>
      </c>
      <c r="L31" s="6">
        <f t="shared" si="5"/>
        <v>1332.3333333333333</v>
      </c>
      <c r="M31" s="1">
        <f t="shared" si="6"/>
        <v>999</v>
      </c>
      <c r="O31" s="6">
        <f t="shared" si="7"/>
        <v>499</v>
      </c>
      <c r="P31" s="6">
        <f t="shared" si="8"/>
        <v>487.28125</v>
      </c>
      <c r="Q31" s="6"/>
      <c r="R31" s="6"/>
    </row>
    <row r="32" spans="1:18">
      <c r="A32" s="1">
        <v>31</v>
      </c>
      <c r="B32" s="2">
        <v>172</v>
      </c>
      <c r="C32" s="3">
        <v>80</v>
      </c>
      <c r="D32" s="4">
        <v>150</v>
      </c>
      <c r="E32" s="5">
        <f t="shared" si="0"/>
        <v>12000000</v>
      </c>
      <c r="F32" s="1">
        <f t="shared" si="1"/>
        <v>47999</v>
      </c>
      <c r="H32" s="6">
        <f t="shared" si="9"/>
        <v>23999</v>
      </c>
      <c r="I32" s="1">
        <f t="shared" si="2"/>
        <v>19999</v>
      </c>
      <c r="J32" s="1">
        <f t="shared" si="3"/>
        <v>11999</v>
      </c>
      <c r="K32" s="1">
        <f t="shared" si="4"/>
        <v>2999</v>
      </c>
      <c r="L32" s="6">
        <f t="shared" si="5"/>
        <v>1999</v>
      </c>
      <c r="M32" s="1">
        <f t="shared" si="6"/>
        <v>1499</v>
      </c>
      <c r="O32" s="6">
        <f t="shared" si="7"/>
        <v>749</v>
      </c>
      <c r="P32" s="6">
        <f t="shared" si="8"/>
        <v>731.421875</v>
      </c>
      <c r="Q32" s="6"/>
      <c r="R32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100E-8BDC-465F-ADA0-6CB24BCFEEAD}">
  <dimension ref="A1:X48"/>
  <sheetViews>
    <sheetView workbookViewId="0">
      <selection activeCell="G2" sqref="G2"/>
    </sheetView>
  </sheetViews>
  <sheetFormatPr defaultColWidth="8.625" defaultRowHeight="14.25"/>
  <cols>
    <col min="1" max="4" width="8.75" style="1" bestFit="1" customWidth="1"/>
    <col min="5" max="5" width="9.125" style="1" bestFit="1" customWidth="1"/>
    <col min="6" max="14" width="8.75" style="1" bestFit="1" customWidth="1"/>
    <col min="15" max="15" width="8.625" style="1"/>
    <col min="16" max="24" width="8.75" style="1" bestFit="1" customWidth="1"/>
    <col min="25" max="16384" width="8.625" style="1"/>
  </cols>
  <sheetData>
    <row r="1" spans="1:24">
      <c r="C1" s="1" t="s">
        <v>1</v>
      </c>
      <c r="D1" s="1" t="s">
        <v>2</v>
      </c>
      <c r="E1" s="1" t="s">
        <v>0</v>
      </c>
      <c r="F1" s="1">
        <v>512</v>
      </c>
      <c r="G1" s="1">
        <v>1000</v>
      </c>
      <c r="H1" s="1">
        <v>2000</v>
      </c>
      <c r="I1" s="1">
        <v>4000</v>
      </c>
      <c r="J1" s="1">
        <v>6000</v>
      </c>
      <c r="K1" s="1">
        <v>8000</v>
      </c>
      <c r="L1" s="1">
        <v>10000</v>
      </c>
      <c r="M1" s="1">
        <v>16000</v>
      </c>
      <c r="N1" s="1">
        <v>32768</v>
      </c>
    </row>
    <row r="2" spans="1:24">
      <c r="A2" s="1">
        <v>1</v>
      </c>
      <c r="B2" s="2">
        <v>1113</v>
      </c>
      <c r="C2" s="3">
        <v>5</v>
      </c>
      <c r="D2" s="4">
        <v>20</v>
      </c>
      <c r="E2" s="5">
        <f t="shared" ref="E2:E32" si="0">C2*D2*1000</f>
        <v>100000</v>
      </c>
      <c r="F2" s="6">
        <f t="shared" ref="F2:F32" si="1">1+(E2-$F$1)/((1-0.5)*$F$1)</f>
        <v>389.625</v>
      </c>
      <c r="G2" s="7">
        <f t="shared" ref="G2:G32" si="2">1+(E2-$G$1)/((1-0.5)*$G$1)</f>
        <v>199</v>
      </c>
      <c r="H2" s="1">
        <f t="shared" ref="H2:H32" si="3">1+(E2-$H$1)/((1-0.5)*$H$1)</f>
        <v>99</v>
      </c>
      <c r="I2" s="1">
        <f t="shared" ref="I2:I32" si="4">1+(E2-$I$1)/((1-0.5)*$I$1)</f>
        <v>49</v>
      </c>
      <c r="J2" s="6">
        <f t="shared" ref="J2:J32" si="5">1+(E2-$J$1)/((1-0.5)*$J$1)</f>
        <v>32.333333333333329</v>
      </c>
      <c r="K2" s="1">
        <f t="shared" ref="K2:K32" si="6">1+(E2-$K$1)/((1-0.5)*$K$1)</f>
        <v>24</v>
      </c>
      <c r="M2" s="1">
        <f t="shared" ref="M2:M32" si="7">1+(E2-$M$1)/((1-0.5)*$M$1)</f>
        <v>11.5</v>
      </c>
      <c r="N2" s="1">
        <f t="shared" ref="N2:N32" si="8">1+(E2-$N$1)/((1-0.5)*$N$1)</f>
        <v>5.103515625</v>
      </c>
      <c r="P2" s="1">
        <f t="shared" ref="P2:P32" si="9">0.2*$F$1/C2</f>
        <v>20.48</v>
      </c>
      <c r="Q2" s="7">
        <f t="shared" ref="Q2:Q32" si="10">0.2*$G$1/C2</f>
        <v>40</v>
      </c>
      <c r="R2" s="1">
        <f t="shared" ref="R2:R32" si="11">0.2*$H$1/C2</f>
        <v>80</v>
      </c>
      <c r="S2" s="1">
        <f t="shared" ref="S2:S32" si="12">0.2*$I$1/C2</f>
        <v>160</v>
      </c>
      <c r="T2" s="6">
        <f t="shared" ref="T2:T32" si="13">0.2*$J$1/C2</f>
        <v>240</v>
      </c>
      <c r="U2" s="1">
        <f t="shared" ref="U2:U32" si="14">0.2*$K$1/C2</f>
        <v>320</v>
      </c>
      <c r="V2" s="1">
        <f>0.2*$L$1/C2</f>
        <v>400</v>
      </c>
      <c r="W2" s="1">
        <f t="shared" ref="W2:W32" si="15">0.2*$M$1/C2</f>
        <v>640</v>
      </c>
      <c r="X2" s="1">
        <f t="shared" ref="X2:X32" si="16">0.2*$N$1/C2</f>
        <v>1310.72</v>
      </c>
    </row>
    <row r="3" spans="1:24">
      <c r="A3" s="1">
        <v>2</v>
      </c>
      <c r="B3" s="2">
        <v>668</v>
      </c>
      <c r="C3" s="3">
        <v>20</v>
      </c>
      <c r="D3" s="4">
        <v>20</v>
      </c>
      <c r="E3" s="5">
        <f t="shared" si="0"/>
        <v>400000</v>
      </c>
      <c r="F3" s="1">
        <f t="shared" si="1"/>
        <v>1561.5</v>
      </c>
      <c r="G3" s="1">
        <f t="shared" si="2"/>
        <v>799</v>
      </c>
      <c r="H3" s="1">
        <f t="shared" si="3"/>
        <v>399</v>
      </c>
      <c r="I3" s="7">
        <f t="shared" si="4"/>
        <v>199</v>
      </c>
      <c r="J3" s="6">
        <f t="shared" si="5"/>
        <v>132.33333333333334</v>
      </c>
      <c r="K3" s="1">
        <f t="shared" si="6"/>
        <v>99</v>
      </c>
      <c r="M3" s="6">
        <f t="shared" si="7"/>
        <v>49</v>
      </c>
      <c r="N3" s="6">
        <f t="shared" si="8"/>
        <v>23.4140625</v>
      </c>
      <c r="O3" s="6"/>
      <c r="P3" s="6">
        <f t="shared" si="9"/>
        <v>5.12</v>
      </c>
      <c r="Q3" s="6">
        <f t="shared" si="10"/>
        <v>10</v>
      </c>
      <c r="R3" s="6">
        <f t="shared" si="11"/>
        <v>20</v>
      </c>
      <c r="S3" s="7">
        <f t="shared" si="12"/>
        <v>40</v>
      </c>
      <c r="T3" s="6">
        <f t="shared" si="13"/>
        <v>60</v>
      </c>
      <c r="U3" s="6">
        <f t="shared" si="14"/>
        <v>80</v>
      </c>
      <c r="V3" s="1">
        <f t="shared" ref="V3:V32" si="17">0.2*$L$1/C3</f>
        <v>100</v>
      </c>
      <c r="W3" s="6">
        <f t="shared" si="15"/>
        <v>160</v>
      </c>
      <c r="X3" s="6">
        <f t="shared" si="16"/>
        <v>327.68</v>
      </c>
    </row>
    <row r="4" spans="1:24">
      <c r="A4" s="1">
        <v>3</v>
      </c>
      <c r="B4" s="2">
        <v>155</v>
      </c>
      <c r="C4" s="3">
        <v>20</v>
      </c>
      <c r="D4" s="4">
        <v>40</v>
      </c>
      <c r="E4" s="5">
        <f t="shared" si="0"/>
        <v>800000</v>
      </c>
      <c r="F4" s="1">
        <f t="shared" si="1"/>
        <v>3124</v>
      </c>
      <c r="G4" s="1">
        <f t="shared" si="2"/>
        <v>1599</v>
      </c>
      <c r="H4" s="1">
        <f t="shared" si="3"/>
        <v>799</v>
      </c>
      <c r="I4" s="7">
        <f t="shared" si="4"/>
        <v>399</v>
      </c>
      <c r="J4" s="6">
        <f t="shared" si="5"/>
        <v>265.66666666666669</v>
      </c>
      <c r="K4" s="6">
        <f t="shared" si="6"/>
        <v>199</v>
      </c>
      <c r="L4" s="6"/>
      <c r="M4" s="6">
        <f t="shared" si="7"/>
        <v>99</v>
      </c>
      <c r="N4" s="6">
        <f t="shared" si="8"/>
        <v>47.828125</v>
      </c>
      <c r="O4" s="6"/>
      <c r="P4" s="6">
        <f t="shared" si="9"/>
        <v>5.12</v>
      </c>
      <c r="Q4" s="6">
        <f t="shared" si="10"/>
        <v>10</v>
      </c>
      <c r="R4" s="6">
        <f t="shared" si="11"/>
        <v>20</v>
      </c>
      <c r="S4" s="7">
        <f t="shared" si="12"/>
        <v>40</v>
      </c>
      <c r="T4" s="6">
        <f t="shared" si="13"/>
        <v>60</v>
      </c>
      <c r="U4" s="6">
        <f t="shared" si="14"/>
        <v>80</v>
      </c>
      <c r="V4" s="1">
        <f t="shared" si="17"/>
        <v>100</v>
      </c>
      <c r="W4" s="6">
        <f t="shared" si="15"/>
        <v>160</v>
      </c>
      <c r="X4" s="6">
        <f t="shared" si="16"/>
        <v>327.68</v>
      </c>
    </row>
    <row r="5" spans="1:24">
      <c r="A5" s="1">
        <v>4</v>
      </c>
      <c r="B5" s="2">
        <v>148</v>
      </c>
      <c r="C5" s="3">
        <v>20</v>
      </c>
      <c r="D5" s="4">
        <v>60</v>
      </c>
      <c r="E5" s="5">
        <f t="shared" si="0"/>
        <v>1200000</v>
      </c>
      <c r="F5" s="1">
        <f t="shared" si="1"/>
        <v>4686.5</v>
      </c>
      <c r="G5" s="1">
        <f t="shared" si="2"/>
        <v>2399</v>
      </c>
      <c r="H5" s="1">
        <f t="shared" si="3"/>
        <v>1199</v>
      </c>
      <c r="I5" s="7">
        <f t="shared" si="4"/>
        <v>599</v>
      </c>
      <c r="J5" s="6">
        <f t="shared" si="5"/>
        <v>399</v>
      </c>
      <c r="K5" s="1">
        <f t="shared" si="6"/>
        <v>299</v>
      </c>
      <c r="M5" s="6">
        <f t="shared" si="7"/>
        <v>149</v>
      </c>
      <c r="N5" s="6">
        <f t="shared" si="8"/>
        <v>72.2421875</v>
      </c>
      <c r="O5" s="6"/>
      <c r="P5" s="6">
        <f t="shared" si="9"/>
        <v>5.12</v>
      </c>
      <c r="Q5" s="6">
        <f t="shared" si="10"/>
        <v>10</v>
      </c>
      <c r="R5" s="6">
        <f t="shared" si="11"/>
        <v>20</v>
      </c>
      <c r="S5" s="7">
        <f t="shared" si="12"/>
        <v>40</v>
      </c>
      <c r="T5" s="6">
        <f t="shared" si="13"/>
        <v>60</v>
      </c>
      <c r="U5" s="6">
        <f t="shared" si="14"/>
        <v>80</v>
      </c>
      <c r="V5" s="1">
        <f t="shared" si="17"/>
        <v>100</v>
      </c>
      <c r="W5" s="6">
        <f t="shared" si="15"/>
        <v>160</v>
      </c>
      <c r="X5" s="6">
        <f t="shared" si="16"/>
        <v>327.68</v>
      </c>
    </row>
    <row r="6" spans="1:24">
      <c r="A6" s="1">
        <v>5</v>
      </c>
      <c r="B6" s="2">
        <v>173</v>
      </c>
      <c r="C6" s="3">
        <v>20</v>
      </c>
      <c r="D6" s="4">
        <v>80</v>
      </c>
      <c r="E6" s="5">
        <f t="shared" si="0"/>
        <v>1600000</v>
      </c>
      <c r="F6" s="1">
        <f t="shared" si="1"/>
        <v>6249</v>
      </c>
      <c r="G6" s="1">
        <f t="shared" si="2"/>
        <v>3199</v>
      </c>
      <c r="H6" s="1">
        <f t="shared" si="3"/>
        <v>1599</v>
      </c>
      <c r="I6" s="7">
        <f t="shared" si="4"/>
        <v>799</v>
      </c>
      <c r="J6" s="6">
        <f t="shared" si="5"/>
        <v>532.33333333333337</v>
      </c>
      <c r="K6" s="1">
        <f t="shared" si="6"/>
        <v>399</v>
      </c>
      <c r="M6" s="6">
        <f t="shared" si="7"/>
        <v>199</v>
      </c>
      <c r="N6" s="6">
        <f t="shared" si="8"/>
        <v>96.65625</v>
      </c>
      <c r="O6" s="6"/>
      <c r="P6" s="6">
        <f t="shared" si="9"/>
        <v>5.12</v>
      </c>
      <c r="Q6" s="6">
        <f t="shared" si="10"/>
        <v>10</v>
      </c>
      <c r="R6" s="6">
        <f t="shared" si="11"/>
        <v>20</v>
      </c>
      <c r="S6" s="7">
        <f t="shared" si="12"/>
        <v>40</v>
      </c>
      <c r="T6" s="6">
        <f t="shared" si="13"/>
        <v>60</v>
      </c>
      <c r="U6" s="6">
        <f t="shared" si="14"/>
        <v>80</v>
      </c>
      <c r="V6" s="1">
        <f t="shared" si="17"/>
        <v>100</v>
      </c>
      <c r="W6" s="6">
        <f t="shared" si="15"/>
        <v>160</v>
      </c>
      <c r="X6" s="6">
        <f t="shared" si="16"/>
        <v>327.68</v>
      </c>
    </row>
    <row r="7" spans="1:24">
      <c r="A7" s="1">
        <v>6</v>
      </c>
      <c r="B7" s="2">
        <v>153</v>
      </c>
      <c r="C7" s="3">
        <v>20</v>
      </c>
      <c r="D7" s="4">
        <v>100</v>
      </c>
      <c r="E7" s="5">
        <f t="shared" si="0"/>
        <v>2000000</v>
      </c>
      <c r="F7" s="1">
        <f t="shared" si="1"/>
        <v>7811.5</v>
      </c>
      <c r="G7" s="1">
        <f t="shared" si="2"/>
        <v>3999</v>
      </c>
      <c r="H7" s="1">
        <f t="shared" si="3"/>
        <v>1999</v>
      </c>
      <c r="I7" s="7">
        <f t="shared" si="4"/>
        <v>999</v>
      </c>
      <c r="J7" s="6">
        <f t="shared" si="5"/>
        <v>665.66666666666663</v>
      </c>
      <c r="K7" s="1">
        <f t="shared" si="6"/>
        <v>499</v>
      </c>
      <c r="M7" s="6">
        <f t="shared" si="7"/>
        <v>249</v>
      </c>
      <c r="N7" s="6">
        <f t="shared" si="8"/>
        <v>121.0703125</v>
      </c>
      <c r="O7" s="6"/>
      <c r="P7" s="6">
        <f t="shared" si="9"/>
        <v>5.12</v>
      </c>
      <c r="Q7" s="6">
        <f t="shared" si="10"/>
        <v>10</v>
      </c>
      <c r="R7" s="6">
        <f t="shared" si="11"/>
        <v>20</v>
      </c>
      <c r="S7" s="7">
        <f t="shared" si="12"/>
        <v>40</v>
      </c>
      <c r="T7" s="6">
        <f t="shared" si="13"/>
        <v>60</v>
      </c>
      <c r="U7" s="6">
        <f t="shared" si="14"/>
        <v>80</v>
      </c>
      <c r="V7" s="1">
        <f t="shared" si="17"/>
        <v>100</v>
      </c>
      <c r="W7" s="6">
        <f t="shared" si="15"/>
        <v>160</v>
      </c>
      <c r="X7" s="6">
        <f t="shared" si="16"/>
        <v>327.68</v>
      </c>
    </row>
    <row r="8" spans="1:24">
      <c r="A8" s="1">
        <v>7</v>
      </c>
      <c r="B8" s="2">
        <v>167</v>
      </c>
      <c r="C8" s="3">
        <v>20</v>
      </c>
      <c r="D8" s="4">
        <v>150</v>
      </c>
      <c r="E8" s="5">
        <f t="shared" si="0"/>
        <v>3000000</v>
      </c>
      <c r="F8" s="1">
        <f t="shared" si="1"/>
        <v>11717.75</v>
      </c>
      <c r="G8" s="1">
        <f t="shared" si="2"/>
        <v>5999</v>
      </c>
      <c r="H8" s="1">
        <f t="shared" si="3"/>
        <v>2999</v>
      </c>
      <c r="I8" s="7">
        <f t="shared" si="4"/>
        <v>1499</v>
      </c>
      <c r="J8" s="6">
        <f t="shared" si="5"/>
        <v>999</v>
      </c>
      <c r="K8" s="1">
        <f t="shared" si="6"/>
        <v>749</v>
      </c>
      <c r="M8" s="6">
        <f t="shared" si="7"/>
        <v>374</v>
      </c>
      <c r="N8" s="6">
        <f t="shared" si="8"/>
        <v>182.10546875</v>
      </c>
      <c r="O8" s="6"/>
      <c r="P8" s="6">
        <f t="shared" si="9"/>
        <v>5.12</v>
      </c>
      <c r="Q8" s="6">
        <f t="shared" si="10"/>
        <v>10</v>
      </c>
      <c r="R8" s="6">
        <f t="shared" si="11"/>
        <v>20</v>
      </c>
      <c r="S8" s="7">
        <f t="shared" si="12"/>
        <v>40</v>
      </c>
      <c r="T8" s="6">
        <f t="shared" si="13"/>
        <v>60</v>
      </c>
      <c r="U8" s="6">
        <f t="shared" si="14"/>
        <v>80</v>
      </c>
      <c r="V8" s="1">
        <f t="shared" si="17"/>
        <v>100</v>
      </c>
      <c r="W8" s="6">
        <f t="shared" si="15"/>
        <v>160</v>
      </c>
      <c r="X8" s="6">
        <f t="shared" si="16"/>
        <v>327.68</v>
      </c>
    </row>
    <row r="9" spans="1:24">
      <c r="A9" s="1">
        <v>8</v>
      </c>
      <c r="B9" s="2">
        <v>593</v>
      </c>
      <c r="C9" s="3">
        <v>30</v>
      </c>
      <c r="D9" s="4">
        <v>20</v>
      </c>
      <c r="E9" s="5">
        <f t="shared" si="0"/>
        <v>600000</v>
      </c>
      <c r="F9" s="1">
        <f t="shared" si="1"/>
        <v>2342.75</v>
      </c>
      <c r="G9" s="1">
        <f t="shared" si="2"/>
        <v>1199</v>
      </c>
      <c r="H9" s="1">
        <f t="shared" si="3"/>
        <v>599</v>
      </c>
      <c r="I9" s="1">
        <f t="shared" si="4"/>
        <v>299</v>
      </c>
      <c r="J9" s="7">
        <f t="shared" si="5"/>
        <v>199</v>
      </c>
      <c r="K9" s="6">
        <f t="shared" si="6"/>
        <v>149</v>
      </c>
      <c r="L9" s="6"/>
      <c r="M9" s="6">
        <f t="shared" si="7"/>
        <v>74</v>
      </c>
      <c r="N9" s="6">
        <f t="shared" si="8"/>
        <v>35.62109375</v>
      </c>
      <c r="O9" s="6"/>
      <c r="P9" s="6">
        <f t="shared" si="9"/>
        <v>3.4133333333333336</v>
      </c>
      <c r="Q9" s="6">
        <f t="shared" si="10"/>
        <v>6.666666666666667</v>
      </c>
      <c r="R9" s="6">
        <f t="shared" si="11"/>
        <v>13.333333333333334</v>
      </c>
      <c r="S9" s="6">
        <f t="shared" si="12"/>
        <v>26.666666666666668</v>
      </c>
      <c r="T9" s="7">
        <f t="shared" si="13"/>
        <v>40</v>
      </c>
      <c r="U9" s="6">
        <f t="shared" si="14"/>
        <v>53.333333333333336</v>
      </c>
      <c r="V9" s="1">
        <f t="shared" si="17"/>
        <v>66.666666666666671</v>
      </c>
      <c r="W9" s="6">
        <f t="shared" si="15"/>
        <v>106.66666666666667</v>
      </c>
      <c r="X9" s="6">
        <f t="shared" si="16"/>
        <v>218.45333333333335</v>
      </c>
    </row>
    <row r="10" spans="1:24">
      <c r="A10" s="1">
        <v>9</v>
      </c>
      <c r="B10" s="2">
        <v>190</v>
      </c>
      <c r="C10" s="3">
        <v>30</v>
      </c>
      <c r="D10" s="4">
        <v>40</v>
      </c>
      <c r="E10" s="5">
        <f t="shared" si="0"/>
        <v>1200000</v>
      </c>
      <c r="F10" s="1">
        <f t="shared" si="1"/>
        <v>4686.5</v>
      </c>
      <c r="G10" s="1">
        <f t="shared" si="2"/>
        <v>2399</v>
      </c>
      <c r="H10" s="1">
        <f t="shared" si="3"/>
        <v>1199</v>
      </c>
      <c r="I10" s="6">
        <f t="shared" si="4"/>
        <v>599</v>
      </c>
      <c r="J10" s="7">
        <f t="shared" si="5"/>
        <v>399</v>
      </c>
      <c r="K10" s="1">
        <f t="shared" si="6"/>
        <v>299</v>
      </c>
      <c r="M10" s="6">
        <f t="shared" si="7"/>
        <v>149</v>
      </c>
      <c r="N10" s="6">
        <f t="shared" si="8"/>
        <v>72.2421875</v>
      </c>
      <c r="O10" s="6"/>
      <c r="P10" s="6">
        <f t="shared" si="9"/>
        <v>3.4133333333333336</v>
      </c>
      <c r="Q10" s="6">
        <f t="shared" si="10"/>
        <v>6.666666666666667</v>
      </c>
      <c r="R10" s="6">
        <f t="shared" si="11"/>
        <v>13.333333333333334</v>
      </c>
      <c r="S10" s="6">
        <f t="shared" si="12"/>
        <v>26.666666666666668</v>
      </c>
      <c r="T10" s="7">
        <f t="shared" si="13"/>
        <v>40</v>
      </c>
      <c r="U10" s="6">
        <f t="shared" si="14"/>
        <v>53.333333333333336</v>
      </c>
      <c r="V10" s="1">
        <f t="shared" si="17"/>
        <v>66.666666666666671</v>
      </c>
      <c r="W10" s="6">
        <f t="shared" si="15"/>
        <v>106.66666666666667</v>
      </c>
      <c r="X10" s="6">
        <f t="shared" si="16"/>
        <v>218.45333333333335</v>
      </c>
    </row>
    <row r="11" spans="1:24">
      <c r="A11" s="1">
        <v>10</v>
      </c>
      <c r="B11" s="2">
        <v>191</v>
      </c>
      <c r="C11" s="3">
        <v>30</v>
      </c>
      <c r="D11" s="4">
        <v>60</v>
      </c>
      <c r="E11" s="5">
        <f t="shared" si="0"/>
        <v>1800000</v>
      </c>
      <c r="F11" s="1">
        <f t="shared" si="1"/>
        <v>7030.25</v>
      </c>
      <c r="G11" s="1">
        <f t="shared" si="2"/>
        <v>3599</v>
      </c>
      <c r="H11" s="1">
        <f t="shared" si="3"/>
        <v>1799</v>
      </c>
      <c r="I11" s="1">
        <f t="shared" si="4"/>
        <v>899</v>
      </c>
      <c r="J11" s="7">
        <f t="shared" si="5"/>
        <v>599</v>
      </c>
      <c r="K11" s="6">
        <f t="shared" si="6"/>
        <v>449</v>
      </c>
      <c r="L11" s="6"/>
      <c r="M11" s="6">
        <f t="shared" si="7"/>
        <v>224</v>
      </c>
      <c r="N11" s="6">
        <f t="shared" si="8"/>
        <v>108.86328125</v>
      </c>
      <c r="O11" s="6"/>
      <c r="P11" s="6">
        <f t="shared" si="9"/>
        <v>3.4133333333333336</v>
      </c>
      <c r="Q11" s="6">
        <f t="shared" si="10"/>
        <v>6.666666666666667</v>
      </c>
      <c r="R11" s="6">
        <f t="shared" si="11"/>
        <v>13.333333333333334</v>
      </c>
      <c r="S11" s="6">
        <f t="shared" si="12"/>
        <v>26.666666666666668</v>
      </c>
      <c r="T11" s="7">
        <f t="shared" si="13"/>
        <v>40</v>
      </c>
      <c r="U11" s="6">
        <f t="shared" si="14"/>
        <v>53.333333333333336</v>
      </c>
      <c r="V11" s="1">
        <f t="shared" si="17"/>
        <v>66.666666666666671</v>
      </c>
      <c r="W11" s="6">
        <f t="shared" si="15"/>
        <v>106.66666666666667</v>
      </c>
      <c r="X11" s="6">
        <f t="shared" si="16"/>
        <v>218.45333333333335</v>
      </c>
    </row>
    <row r="12" spans="1:24">
      <c r="A12" s="1">
        <v>11</v>
      </c>
      <c r="B12" s="2">
        <v>164</v>
      </c>
      <c r="C12" s="3">
        <v>30</v>
      </c>
      <c r="D12" s="4">
        <v>80</v>
      </c>
      <c r="E12" s="5">
        <f t="shared" si="0"/>
        <v>2400000</v>
      </c>
      <c r="F12" s="1">
        <f t="shared" si="1"/>
        <v>9374</v>
      </c>
      <c r="G12" s="1">
        <f t="shared" si="2"/>
        <v>4799</v>
      </c>
      <c r="H12" s="1">
        <f t="shared" si="3"/>
        <v>2399</v>
      </c>
      <c r="I12" s="6">
        <f t="shared" si="4"/>
        <v>1199</v>
      </c>
      <c r="J12" s="7">
        <f t="shared" si="5"/>
        <v>799</v>
      </c>
      <c r="K12" s="1">
        <f t="shared" si="6"/>
        <v>599</v>
      </c>
      <c r="M12" s="6">
        <f t="shared" si="7"/>
        <v>299</v>
      </c>
      <c r="N12" s="6">
        <f t="shared" si="8"/>
        <v>145.484375</v>
      </c>
      <c r="O12" s="6"/>
      <c r="P12" s="6">
        <f t="shared" si="9"/>
        <v>3.4133333333333336</v>
      </c>
      <c r="Q12" s="6">
        <f t="shared" si="10"/>
        <v>6.666666666666667</v>
      </c>
      <c r="R12" s="6">
        <f t="shared" si="11"/>
        <v>13.333333333333334</v>
      </c>
      <c r="S12" s="6">
        <f t="shared" si="12"/>
        <v>26.666666666666668</v>
      </c>
      <c r="T12" s="7">
        <f t="shared" si="13"/>
        <v>40</v>
      </c>
      <c r="U12" s="6">
        <f t="shared" si="14"/>
        <v>53.333333333333336</v>
      </c>
      <c r="V12" s="1">
        <f t="shared" si="17"/>
        <v>66.666666666666671</v>
      </c>
      <c r="W12" s="6">
        <f t="shared" si="15"/>
        <v>106.66666666666667</v>
      </c>
      <c r="X12" s="6">
        <f t="shared" si="16"/>
        <v>218.45333333333335</v>
      </c>
    </row>
    <row r="13" spans="1:24">
      <c r="A13" s="1">
        <v>12</v>
      </c>
      <c r="B13" s="2">
        <v>153</v>
      </c>
      <c r="C13" s="3">
        <v>30</v>
      </c>
      <c r="D13" s="4">
        <v>100</v>
      </c>
      <c r="E13" s="5">
        <f t="shared" si="0"/>
        <v>3000000</v>
      </c>
      <c r="F13" s="1">
        <f t="shared" si="1"/>
        <v>11717.75</v>
      </c>
      <c r="G13" s="1">
        <f t="shared" si="2"/>
        <v>5999</v>
      </c>
      <c r="H13" s="1">
        <f t="shared" si="3"/>
        <v>2999</v>
      </c>
      <c r="I13" s="1">
        <f t="shared" si="4"/>
        <v>1499</v>
      </c>
      <c r="J13" s="7">
        <f t="shared" si="5"/>
        <v>999</v>
      </c>
      <c r="K13" s="1">
        <f t="shared" si="6"/>
        <v>749</v>
      </c>
      <c r="M13" s="6">
        <f t="shared" si="7"/>
        <v>374</v>
      </c>
      <c r="N13" s="6">
        <f t="shared" si="8"/>
        <v>182.10546875</v>
      </c>
      <c r="O13" s="6"/>
      <c r="P13" s="6">
        <f t="shared" si="9"/>
        <v>3.4133333333333336</v>
      </c>
      <c r="Q13" s="6">
        <f t="shared" si="10"/>
        <v>6.666666666666667</v>
      </c>
      <c r="R13" s="6">
        <f t="shared" si="11"/>
        <v>13.333333333333334</v>
      </c>
      <c r="S13" s="6">
        <f t="shared" si="12"/>
        <v>26.666666666666668</v>
      </c>
      <c r="T13" s="7">
        <f t="shared" si="13"/>
        <v>40</v>
      </c>
      <c r="U13" s="6">
        <f t="shared" si="14"/>
        <v>53.333333333333336</v>
      </c>
      <c r="V13" s="1">
        <f t="shared" si="17"/>
        <v>66.666666666666671</v>
      </c>
      <c r="W13" s="6">
        <f t="shared" si="15"/>
        <v>106.66666666666667</v>
      </c>
      <c r="X13" s="6">
        <f t="shared" si="16"/>
        <v>218.45333333333335</v>
      </c>
    </row>
    <row r="14" spans="1:24">
      <c r="A14" s="1">
        <v>13</v>
      </c>
      <c r="B14" s="2">
        <v>189</v>
      </c>
      <c r="C14" s="3">
        <v>30</v>
      </c>
      <c r="D14" s="4">
        <v>150</v>
      </c>
      <c r="E14" s="5">
        <f t="shared" si="0"/>
        <v>4500000</v>
      </c>
      <c r="F14" s="1">
        <f t="shared" si="1"/>
        <v>17577.125</v>
      </c>
      <c r="G14" s="1">
        <f t="shared" si="2"/>
        <v>8999</v>
      </c>
      <c r="H14" s="1">
        <f t="shared" si="3"/>
        <v>4499</v>
      </c>
      <c r="I14" s="1">
        <f t="shared" si="4"/>
        <v>2249</v>
      </c>
      <c r="J14" s="7">
        <f t="shared" si="5"/>
        <v>1499</v>
      </c>
      <c r="K14" s="1">
        <f t="shared" si="6"/>
        <v>1124</v>
      </c>
      <c r="M14" s="6">
        <f t="shared" si="7"/>
        <v>561.5</v>
      </c>
      <c r="N14" s="6">
        <f t="shared" si="8"/>
        <v>273.658203125</v>
      </c>
      <c r="O14" s="6"/>
      <c r="P14" s="6">
        <f t="shared" si="9"/>
        <v>3.4133333333333336</v>
      </c>
      <c r="Q14" s="6">
        <f t="shared" si="10"/>
        <v>6.666666666666667</v>
      </c>
      <c r="R14" s="6">
        <f t="shared" si="11"/>
        <v>13.333333333333334</v>
      </c>
      <c r="S14" s="6">
        <f t="shared" si="12"/>
        <v>26.666666666666668</v>
      </c>
      <c r="T14" s="7">
        <f t="shared" si="13"/>
        <v>40</v>
      </c>
      <c r="U14" s="6">
        <f t="shared" si="14"/>
        <v>53.333333333333336</v>
      </c>
      <c r="V14" s="1">
        <f t="shared" si="17"/>
        <v>66.666666666666671</v>
      </c>
      <c r="W14" s="6">
        <f t="shared" si="15"/>
        <v>106.66666666666667</v>
      </c>
      <c r="X14" s="6">
        <f t="shared" si="16"/>
        <v>218.45333333333335</v>
      </c>
    </row>
    <row r="15" spans="1:24">
      <c r="A15" s="1">
        <v>14</v>
      </c>
      <c r="B15" s="2">
        <v>264</v>
      </c>
      <c r="C15" s="3">
        <v>40</v>
      </c>
      <c r="D15" s="4">
        <v>20</v>
      </c>
      <c r="E15" s="5">
        <f t="shared" si="0"/>
        <v>800000</v>
      </c>
      <c r="F15" s="1">
        <f t="shared" si="1"/>
        <v>3124</v>
      </c>
      <c r="G15" s="1">
        <f t="shared" si="2"/>
        <v>1599</v>
      </c>
      <c r="H15" s="1">
        <f t="shared" si="3"/>
        <v>799</v>
      </c>
      <c r="I15" s="1">
        <f t="shared" si="4"/>
        <v>399</v>
      </c>
      <c r="J15" s="6">
        <f t="shared" si="5"/>
        <v>265.66666666666669</v>
      </c>
      <c r="K15" s="7">
        <f t="shared" si="6"/>
        <v>199</v>
      </c>
      <c r="L15" s="6"/>
      <c r="M15" s="6">
        <f t="shared" si="7"/>
        <v>99</v>
      </c>
      <c r="N15" s="6">
        <f t="shared" si="8"/>
        <v>47.828125</v>
      </c>
      <c r="O15" s="6"/>
      <c r="P15" s="6">
        <f t="shared" si="9"/>
        <v>2.56</v>
      </c>
      <c r="Q15" s="6">
        <f t="shared" si="10"/>
        <v>5</v>
      </c>
      <c r="R15" s="6">
        <f t="shared" si="11"/>
        <v>10</v>
      </c>
      <c r="S15" s="6">
        <f t="shared" si="12"/>
        <v>20</v>
      </c>
      <c r="T15" s="6">
        <f t="shared" si="13"/>
        <v>30</v>
      </c>
      <c r="U15" s="7">
        <f t="shared" si="14"/>
        <v>40</v>
      </c>
      <c r="V15" s="1">
        <f t="shared" si="17"/>
        <v>50</v>
      </c>
      <c r="W15" s="6">
        <f t="shared" si="15"/>
        <v>80</v>
      </c>
      <c r="X15" s="6">
        <f t="shared" si="16"/>
        <v>163.84</v>
      </c>
    </row>
    <row r="16" spans="1:24">
      <c r="A16" s="1">
        <v>15</v>
      </c>
      <c r="B16" s="2">
        <v>144</v>
      </c>
      <c r="C16" s="3">
        <v>40</v>
      </c>
      <c r="D16" s="4">
        <v>40</v>
      </c>
      <c r="E16" s="5">
        <f t="shared" si="0"/>
        <v>1600000</v>
      </c>
      <c r="F16" s="1">
        <f t="shared" si="1"/>
        <v>6249</v>
      </c>
      <c r="G16" s="1">
        <f t="shared" si="2"/>
        <v>3199</v>
      </c>
      <c r="H16" s="1">
        <f t="shared" si="3"/>
        <v>1599</v>
      </c>
      <c r="I16" s="1">
        <f t="shared" si="4"/>
        <v>799</v>
      </c>
      <c r="J16" s="6">
        <f t="shared" si="5"/>
        <v>532.33333333333337</v>
      </c>
      <c r="K16" s="7">
        <f t="shared" si="6"/>
        <v>399</v>
      </c>
      <c r="L16" s="6"/>
      <c r="M16" s="6">
        <f t="shared" si="7"/>
        <v>199</v>
      </c>
      <c r="N16" s="6">
        <f t="shared" si="8"/>
        <v>96.65625</v>
      </c>
      <c r="O16" s="6"/>
      <c r="P16" s="6">
        <f t="shared" si="9"/>
        <v>2.56</v>
      </c>
      <c r="Q16" s="6">
        <f t="shared" si="10"/>
        <v>5</v>
      </c>
      <c r="R16" s="6">
        <f t="shared" si="11"/>
        <v>10</v>
      </c>
      <c r="S16" s="6">
        <f t="shared" si="12"/>
        <v>20</v>
      </c>
      <c r="T16" s="6">
        <f t="shared" si="13"/>
        <v>30</v>
      </c>
      <c r="U16" s="7">
        <f t="shared" si="14"/>
        <v>40</v>
      </c>
      <c r="V16" s="1">
        <f t="shared" si="17"/>
        <v>50</v>
      </c>
      <c r="W16" s="6">
        <f t="shared" si="15"/>
        <v>80</v>
      </c>
      <c r="X16" s="6">
        <f t="shared" si="16"/>
        <v>163.84</v>
      </c>
    </row>
    <row r="17" spans="1:24">
      <c r="A17" s="1">
        <v>16</v>
      </c>
      <c r="B17" s="2">
        <v>151</v>
      </c>
      <c r="C17" s="3">
        <v>40</v>
      </c>
      <c r="D17" s="4">
        <v>60</v>
      </c>
      <c r="E17" s="5">
        <f t="shared" si="0"/>
        <v>2400000</v>
      </c>
      <c r="F17" s="1">
        <f t="shared" si="1"/>
        <v>9374</v>
      </c>
      <c r="G17" s="1">
        <f t="shared" si="2"/>
        <v>4799</v>
      </c>
      <c r="H17" s="1">
        <f t="shared" si="3"/>
        <v>2399</v>
      </c>
      <c r="I17" s="1">
        <f t="shared" si="4"/>
        <v>1199</v>
      </c>
      <c r="J17" s="6">
        <f t="shared" si="5"/>
        <v>799</v>
      </c>
      <c r="K17" s="7">
        <f t="shared" si="6"/>
        <v>599</v>
      </c>
      <c r="L17" s="6"/>
      <c r="M17" s="6">
        <f t="shared" si="7"/>
        <v>299</v>
      </c>
      <c r="N17" s="6">
        <f t="shared" si="8"/>
        <v>145.484375</v>
      </c>
      <c r="O17" s="6"/>
      <c r="P17" s="6">
        <f t="shared" si="9"/>
        <v>2.56</v>
      </c>
      <c r="Q17" s="6">
        <f t="shared" si="10"/>
        <v>5</v>
      </c>
      <c r="R17" s="6">
        <f t="shared" si="11"/>
        <v>10</v>
      </c>
      <c r="S17" s="6">
        <f t="shared" si="12"/>
        <v>20</v>
      </c>
      <c r="T17" s="6">
        <f t="shared" si="13"/>
        <v>30</v>
      </c>
      <c r="U17" s="7">
        <f t="shared" si="14"/>
        <v>40</v>
      </c>
      <c r="V17" s="1">
        <f t="shared" si="17"/>
        <v>50</v>
      </c>
      <c r="W17" s="6">
        <f t="shared" si="15"/>
        <v>80</v>
      </c>
      <c r="X17" s="6">
        <f t="shared" si="16"/>
        <v>163.84</v>
      </c>
    </row>
    <row r="18" spans="1:24">
      <c r="A18" s="1">
        <v>17</v>
      </c>
      <c r="B18" s="2">
        <v>171</v>
      </c>
      <c r="C18" s="3">
        <v>40</v>
      </c>
      <c r="D18" s="4">
        <v>80</v>
      </c>
      <c r="E18" s="5">
        <f t="shared" si="0"/>
        <v>3200000</v>
      </c>
      <c r="F18" s="1">
        <f t="shared" si="1"/>
        <v>12499</v>
      </c>
      <c r="G18" s="1">
        <f t="shared" si="2"/>
        <v>6399</v>
      </c>
      <c r="H18" s="1">
        <f t="shared" si="3"/>
        <v>3199</v>
      </c>
      <c r="I18" s="1">
        <f t="shared" si="4"/>
        <v>1599</v>
      </c>
      <c r="J18" s="6">
        <f t="shared" si="5"/>
        <v>1065.6666666666667</v>
      </c>
      <c r="K18" s="7">
        <f t="shared" si="6"/>
        <v>799</v>
      </c>
      <c r="L18" s="6"/>
      <c r="M18" s="6">
        <f t="shared" si="7"/>
        <v>399</v>
      </c>
      <c r="N18" s="6">
        <f t="shared" si="8"/>
        <v>194.3125</v>
      </c>
      <c r="O18" s="6"/>
      <c r="P18" s="6">
        <f t="shared" si="9"/>
        <v>2.56</v>
      </c>
      <c r="Q18" s="6">
        <f t="shared" si="10"/>
        <v>5</v>
      </c>
      <c r="R18" s="6">
        <f t="shared" si="11"/>
        <v>10</v>
      </c>
      <c r="S18" s="6">
        <f t="shared" si="12"/>
        <v>20</v>
      </c>
      <c r="T18" s="6">
        <f t="shared" si="13"/>
        <v>30</v>
      </c>
      <c r="U18" s="7">
        <f t="shared" si="14"/>
        <v>40</v>
      </c>
      <c r="V18" s="1">
        <f t="shared" si="17"/>
        <v>50</v>
      </c>
      <c r="W18" s="6">
        <f t="shared" si="15"/>
        <v>80</v>
      </c>
      <c r="X18" s="6">
        <f t="shared" si="16"/>
        <v>163.84</v>
      </c>
    </row>
    <row r="19" spans="1:24">
      <c r="A19" s="1">
        <v>18</v>
      </c>
      <c r="B19" s="2">
        <v>173</v>
      </c>
      <c r="C19" s="3">
        <v>40</v>
      </c>
      <c r="D19" s="4">
        <v>100</v>
      </c>
      <c r="E19" s="5">
        <f t="shared" si="0"/>
        <v>4000000</v>
      </c>
      <c r="F19" s="1">
        <f t="shared" si="1"/>
        <v>15624</v>
      </c>
      <c r="G19" s="1">
        <f t="shared" si="2"/>
        <v>7999</v>
      </c>
      <c r="H19" s="1">
        <f t="shared" si="3"/>
        <v>3999</v>
      </c>
      <c r="I19" s="1">
        <f t="shared" si="4"/>
        <v>1999</v>
      </c>
      <c r="J19" s="6">
        <f t="shared" si="5"/>
        <v>1332.3333333333333</v>
      </c>
      <c r="K19" s="7">
        <f t="shared" si="6"/>
        <v>999</v>
      </c>
      <c r="L19" s="6"/>
      <c r="M19" s="6">
        <f t="shared" si="7"/>
        <v>499</v>
      </c>
      <c r="N19" s="6">
        <f t="shared" si="8"/>
        <v>243.140625</v>
      </c>
      <c r="O19" s="6"/>
      <c r="P19" s="6">
        <f t="shared" si="9"/>
        <v>2.56</v>
      </c>
      <c r="Q19" s="6">
        <f t="shared" si="10"/>
        <v>5</v>
      </c>
      <c r="R19" s="6">
        <f t="shared" si="11"/>
        <v>10</v>
      </c>
      <c r="S19" s="6">
        <f t="shared" si="12"/>
        <v>20</v>
      </c>
      <c r="T19" s="6">
        <f t="shared" si="13"/>
        <v>30</v>
      </c>
      <c r="U19" s="7">
        <f t="shared" si="14"/>
        <v>40</v>
      </c>
      <c r="V19" s="1">
        <f t="shared" si="17"/>
        <v>50</v>
      </c>
      <c r="W19" s="6">
        <f t="shared" si="15"/>
        <v>80</v>
      </c>
      <c r="X19" s="6">
        <f t="shared" si="16"/>
        <v>163.84</v>
      </c>
    </row>
    <row r="20" spans="1:24">
      <c r="A20" s="1">
        <v>19</v>
      </c>
      <c r="B20" s="2">
        <v>152</v>
      </c>
      <c r="C20" s="3">
        <v>40</v>
      </c>
      <c r="D20" s="4">
        <v>150</v>
      </c>
      <c r="E20" s="5">
        <f t="shared" si="0"/>
        <v>6000000</v>
      </c>
      <c r="F20" s="1">
        <f t="shared" si="1"/>
        <v>23436.5</v>
      </c>
      <c r="G20" s="1">
        <f t="shared" si="2"/>
        <v>11999</v>
      </c>
      <c r="H20" s="1">
        <f t="shared" si="3"/>
        <v>5999</v>
      </c>
      <c r="I20" s="1">
        <f t="shared" si="4"/>
        <v>2999</v>
      </c>
      <c r="J20" s="6">
        <f t="shared" si="5"/>
        <v>1999</v>
      </c>
      <c r="K20" s="7">
        <f t="shared" si="6"/>
        <v>1499</v>
      </c>
      <c r="L20" s="6"/>
      <c r="M20" s="6">
        <f t="shared" si="7"/>
        <v>749</v>
      </c>
      <c r="N20" s="6">
        <f t="shared" si="8"/>
        <v>365.2109375</v>
      </c>
      <c r="O20" s="6"/>
      <c r="P20" s="6">
        <f t="shared" si="9"/>
        <v>2.56</v>
      </c>
      <c r="Q20" s="6">
        <f t="shared" si="10"/>
        <v>5</v>
      </c>
      <c r="R20" s="6">
        <f t="shared" si="11"/>
        <v>10</v>
      </c>
      <c r="S20" s="6">
        <f t="shared" si="12"/>
        <v>20</v>
      </c>
      <c r="T20" s="6">
        <f t="shared" si="13"/>
        <v>30</v>
      </c>
      <c r="U20" s="7">
        <f t="shared" si="14"/>
        <v>40</v>
      </c>
      <c r="V20" s="1">
        <f t="shared" si="17"/>
        <v>50</v>
      </c>
      <c r="W20" s="6">
        <f t="shared" si="15"/>
        <v>80</v>
      </c>
      <c r="X20" s="6">
        <f t="shared" si="16"/>
        <v>163.84</v>
      </c>
    </row>
    <row r="21" spans="1:24">
      <c r="A21" s="1">
        <v>20</v>
      </c>
      <c r="B21" s="2">
        <v>345</v>
      </c>
      <c r="C21" s="3">
        <v>50</v>
      </c>
      <c r="D21" s="4">
        <v>20</v>
      </c>
      <c r="E21" s="5">
        <f t="shared" si="0"/>
        <v>1000000</v>
      </c>
      <c r="F21" s="1">
        <f t="shared" si="1"/>
        <v>3905.25</v>
      </c>
      <c r="G21" s="1">
        <f t="shared" si="2"/>
        <v>1999</v>
      </c>
      <c r="H21" s="1">
        <f t="shared" si="3"/>
        <v>999</v>
      </c>
      <c r="I21" s="1">
        <f t="shared" si="4"/>
        <v>499</v>
      </c>
      <c r="J21" s="6">
        <f t="shared" si="5"/>
        <v>332.33333333333331</v>
      </c>
      <c r="K21" s="1">
        <f t="shared" si="6"/>
        <v>249</v>
      </c>
      <c r="L21" s="7">
        <f>1+(E21-$L$1)/((1-0.5)*$L$1)</f>
        <v>199</v>
      </c>
      <c r="M21" s="6">
        <f t="shared" si="7"/>
        <v>124</v>
      </c>
      <c r="N21" s="6">
        <f t="shared" si="8"/>
        <v>60.03515625</v>
      </c>
      <c r="O21" s="6"/>
      <c r="P21" s="6">
        <f t="shared" si="9"/>
        <v>2.048</v>
      </c>
      <c r="Q21" s="6">
        <f t="shared" si="10"/>
        <v>4</v>
      </c>
      <c r="R21" s="6">
        <f t="shared" si="11"/>
        <v>8</v>
      </c>
      <c r="S21" s="6">
        <f t="shared" si="12"/>
        <v>16</v>
      </c>
      <c r="T21" s="6">
        <f t="shared" si="13"/>
        <v>24</v>
      </c>
      <c r="U21" s="6">
        <f t="shared" si="14"/>
        <v>32</v>
      </c>
      <c r="V21" s="7">
        <f t="shared" si="17"/>
        <v>40</v>
      </c>
      <c r="W21" s="6">
        <f t="shared" si="15"/>
        <v>64</v>
      </c>
      <c r="X21" s="6">
        <f t="shared" si="16"/>
        <v>131.072</v>
      </c>
    </row>
    <row r="22" spans="1:24">
      <c r="A22" s="1">
        <v>21</v>
      </c>
      <c r="B22" s="2">
        <v>162</v>
      </c>
      <c r="C22" s="3">
        <v>50</v>
      </c>
      <c r="D22" s="4">
        <v>40</v>
      </c>
      <c r="E22" s="5">
        <f t="shared" si="0"/>
        <v>2000000</v>
      </c>
      <c r="F22" s="1">
        <f t="shared" si="1"/>
        <v>7811.5</v>
      </c>
      <c r="G22" s="1">
        <f t="shared" si="2"/>
        <v>3999</v>
      </c>
      <c r="H22" s="1">
        <f t="shared" si="3"/>
        <v>1999</v>
      </c>
      <c r="I22" s="1">
        <f t="shared" si="4"/>
        <v>999</v>
      </c>
      <c r="J22" s="6">
        <f t="shared" si="5"/>
        <v>665.66666666666663</v>
      </c>
      <c r="K22" s="1">
        <f t="shared" si="6"/>
        <v>499</v>
      </c>
      <c r="L22" s="7">
        <f t="shared" ref="L22:L26" si="18">1+(E22-$L$1)/((1-0.5)*$L$1)</f>
        <v>399</v>
      </c>
      <c r="M22" s="6">
        <f t="shared" si="7"/>
        <v>249</v>
      </c>
      <c r="N22" s="6">
        <f t="shared" si="8"/>
        <v>121.0703125</v>
      </c>
      <c r="O22" s="6"/>
      <c r="P22" s="6">
        <f t="shared" si="9"/>
        <v>2.048</v>
      </c>
      <c r="Q22" s="6">
        <f t="shared" si="10"/>
        <v>4</v>
      </c>
      <c r="R22" s="6">
        <f t="shared" si="11"/>
        <v>8</v>
      </c>
      <c r="S22" s="6">
        <f t="shared" si="12"/>
        <v>16</v>
      </c>
      <c r="T22" s="6">
        <f t="shared" si="13"/>
        <v>24</v>
      </c>
      <c r="U22" s="6">
        <f t="shared" si="14"/>
        <v>32</v>
      </c>
      <c r="V22" s="7">
        <f t="shared" si="17"/>
        <v>40</v>
      </c>
      <c r="W22" s="6">
        <f t="shared" si="15"/>
        <v>64</v>
      </c>
      <c r="X22" s="6">
        <f t="shared" si="16"/>
        <v>131.072</v>
      </c>
    </row>
    <row r="23" spans="1:24">
      <c r="A23" s="1">
        <v>22</v>
      </c>
      <c r="B23" s="2">
        <v>158</v>
      </c>
      <c r="C23" s="3">
        <v>50</v>
      </c>
      <c r="D23" s="4">
        <v>60</v>
      </c>
      <c r="E23" s="5">
        <f t="shared" si="0"/>
        <v>3000000</v>
      </c>
      <c r="F23" s="1">
        <f t="shared" si="1"/>
        <v>11717.75</v>
      </c>
      <c r="G23" s="1">
        <f t="shared" si="2"/>
        <v>5999</v>
      </c>
      <c r="H23" s="1">
        <f t="shared" si="3"/>
        <v>2999</v>
      </c>
      <c r="I23" s="1">
        <f t="shared" si="4"/>
        <v>1499</v>
      </c>
      <c r="J23" s="6">
        <f t="shared" si="5"/>
        <v>999</v>
      </c>
      <c r="K23" s="6">
        <f t="shared" si="6"/>
        <v>749</v>
      </c>
      <c r="L23" s="7">
        <f t="shared" si="18"/>
        <v>599</v>
      </c>
      <c r="M23" s="6">
        <f t="shared" si="7"/>
        <v>374</v>
      </c>
      <c r="N23" s="6">
        <f t="shared" si="8"/>
        <v>182.10546875</v>
      </c>
      <c r="O23" s="6"/>
      <c r="P23" s="6">
        <f t="shared" si="9"/>
        <v>2.048</v>
      </c>
      <c r="Q23" s="6">
        <f t="shared" si="10"/>
        <v>4</v>
      </c>
      <c r="R23" s="6">
        <f t="shared" si="11"/>
        <v>8</v>
      </c>
      <c r="S23" s="6">
        <f t="shared" si="12"/>
        <v>16</v>
      </c>
      <c r="T23" s="6">
        <f t="shared" si="13"/>
        <v>24</v>
      </c>
      <c r="U23" s="6">
        <f t="shared" si="14"/>
        <v>32</v>
      </c>
      <c r="V23" s="7">
        <f t="shared" si="17"/>
        <v>40</v>
      </c>
      <c r="W23" s="6">
        <f t="shared" si="15"/>
        <v>64</v>
      </c>
      <c r="X23" s="6">
        <f t="shared" si="16"/>
        <v>131.072</v>
      </c>
    </row>
    <row r="24" spans="1:24">
      <c r="A24" s="1">
        <v>23</v>
      </c>
      <c r="B24" s="2">
        <v>155</v>
      </c>
      <c r="C24" s="3">
        <v>50</v>
      </c>
      <c r="D24" s="4">
        <v>80</v>
      </c>
      <c r="E24" s="5">
        <f t="shared" si="0"/>
        <v>4000000</v>
      </c>
      <c r="F24" s="1">
        <f t="shared" si="1"/>
        <v>15624</v>
      </c>
      <c r="G24" s="1">
        <f t="shared" si="2"/>
        <v>7999</v>
      </c>
      <c r="H24" s="1">
        <f t="shared" si="3"/>
        <v>3999</v>
      </c>
      <c r="I24" s="1">
        <f t="shared" si="4"/>
        <v>1999</v>
      </c>
      <c r="J24" s="6">
        <f t="shared" si="5"/>
        <v>1332.3333333333333</v>
      </c>
      <c r="K24" s="6">
        <f t="shared" si="6"/>
        <v>999</v>
      </c>
      <c r="L24" s="7">
        <f t="shared" si="18"/>
        <v>799</v>
      </c>
      <c r="M24" s="6">
        <f t="shared" si="7"/>
        <v>499</v>
      </c>
      <c r="N24" s="6">
        <f t="shared" si="8"/>
        <v>243.140625</v>
      </c>
      <c r="O24" s="6"/>
      <c r="P24" s="6">
        <f t="shared" si="9"/>
        <v>2.048</v>
      </c>
      <c r="Q24" s="6">
        <f t="shared" si="10"/>
        <v>4</v>
      </c>
      <c r="R24" s="6">
        <f t="shared" si="11"/>
        <v>8</v>
      </c>
      <c r="S24" s="6">
        <f t="shared" si="12"/>
        <v>16</v>
      </c>
      <c r="T24" s="6">
        <f t="shared" si="13"/>
        <v>24</v>
      </c>
      <c r="U24" s="6">
        <f t="shared" si="14"/>
        <v>32</v>
      </c>
      <c r="V24" s="7">
        <f t="shared" si="17"/>
        <v>40</v>
      </c>
      <c r="W24" s="6">
        <f t="shared" si="15"/>
        <v>64</v>
      </c>
      <c r="X24" s="6">
        <f t="shared" si="16"/>
        <v>131.072</v>
      </c>
    </row>
    <row r="25" spans="1:24">
      <c r="A25" s="1">
        <v>24</v>
      </c>
      <c r="B25" s="2">
        <v>171</v>
      </c>
      <c r="C25" s="3">
        <v>50</v>
      </c>
      <c r="D25" s="4">
        <v>100</v>
      </c>
      <c r="E25" s="5">
        <f t="shared" si="0"/>
        <v>5000000</v>
      </c>
      <c r="F25" s="1">
        <f t="shared" si="1"/>
        <v>19530.25</v>
      </c>
      <c r="G25" s="1">
        <f t="shared" si="2"/>
        <v>9999</v>
      </c>
      <c r="H25" s="1">
        <f t="shared" si="3"/>
        <v>4999</v>
      </c>
      <c r="I25" s="1">
        <f t="shared" si="4"/>
        <v>2499</v>
      </c>
      <c r="J25" s="6">
        <f t="shared" si="5"/>
        <v>1665.6666666666667</v>
      </c>
      <c r="K25" s="1">
        <f t="shared" si="6"/>
        <v>1249</v>
      </c>
      <c r="L25" s="7">
        <f t="shared" si="18"/>
        <v>999</v>
      </c>
      <c r="M25" s="6">
        <f t="shared" si="7"/>
        <v>624</v>
      </c>
      <c r="N25" s="6">
        <f t="shared" si="8"/>
        <v>304.17578125</v>
      </c>
      <c r="O25" s="6"/>
      <c r="P25" s="6">
        <f t="shared" si="9"/>
        <v>2.048</v>
      </c>
      <c r="Q25" s="6">
        <f t="shared" si="10"/>
        <v>4</v>
      </c>
      <c r="R25" s="6">
        <f t="shared" si="11"/>
        <v>8</v>
      </c>
      <c r="S25" s="6">
        <f t="shared" si="12"/>
        <v>16</v>
      </c>
      <c r="T25" s="6">
        <f t="shared" si="13"/>
        <v>24</v>
      </c>
      <c r="U25" s="6">
        <f t="shared" si="14"/>
        <v>32</v>
      </c>
      <c r="V25" s="7">
        <f t="shared" si="17"/>
        <v>40</v>
      </c>
      <c r="W25" s="6">
        <f t="shared" si="15"/>
        <v>64</v>
      </c>
      <c r="X25" s="6">
        <f t="shared" si="16"/>
        <v>131.072</v>
      </c>
    </row>
    <row r="26" spans="1:24">
      <c r="A26" s="1">
        <v>25</v>
      </c>
      <c r="B26" s="2">
        <v>191</v>
      </c>
      <c r="C26" s="3">
        <v>50</v>
      </c>
      <c r="D26" s="4">
        <v>150</v>
      </c>
      <c r="E26" s="5">
        <f t="shared" si="0"/>
        <v>7500000</v>
      </c>
      <c r="F26" s="1">
        <f t="shared" si="1"/>
        <v>29295.875</v>
      </c>
      <c r="G26" s="1">
        <f t="shared" si="2"/>
        <v>14999</v>
      </c>
      <c r="H26" s="1">
        <f t="shared" si="3"/>
        <v>7499</v>
      </c>
      <c r="I26" s="1">
        <f t="shared" si="4"/>
        <v>3749</v>
      </c>
      <c r="J26" s="6">
        <f t="shared" si="5"/>
        <v>2499</v>
      </c>
      <c r="K26" s="1">
        <f t="shared" si="6"/>
        <v>1874</v>
      </c>
      <c r="L26" s="7">
        <f t="shared" si="18"/>
        <v>1499</v>
      </c>
      <c r="M26" s="6">
        <f t="shared" si="7"/>
        <v>936.5</v>
      </c>
      <c r="N26" s="6">
        <f t="shared" si="8"/>
        <v>456.763671875</v>
      </c>
      <c r="O26" s="6"/>
      <c r="P26" s="6">
        <f t="shared" si="9"/>
        <v>2.048</v>
      </c>
      <c r="Q26" s="6">
        <f t="shared" si="10"/>
        <v>4</v>
      </c>
      <c r="R26" s="6">
        <f t="shared" si="11"/>
        <v>8</v>
      </c>
      <c r="S26" s="6">
        <f t="shared" si="12"/>
        <v>16</v>
      </c>
      <c r="T26" s="6">
        <f t="shared" si="13"/>
        <v>24</v>
      </c>
      <c r="U26" s="6">
        <f t="shared" si="14"/>
        <v>32</v>
      </c>
      <c r="V26" s="7">
        <f t="shared" si="17"/>
        <v>40</v>
      </c>
      <c r="W26" s="6">
        <f t="shared" si="15"/>
        <v>64</v>
      </c>
      <c r="X26" s="6">
        <f t="shared" si="16"/>
        <v>131.072</v>
      </c>
    </row>
    <row r="27" spans="1:24">
      <c r="A27" s="1">
        <v>26</v>
      </c>
      <c r="B27" s="2">
        <v>162</v>
      </c>
      <c r="C27" s="3">
        <v>80</v>
      </c>
      <c r="D27" s="4">
        <v>20</v>
      </c>
      <c r="E27" s="5">
        <f t="shared" si="0"/>
        <v>1600000</v>
      </c>
      <c r="F27" s="1">
        <f t="shared" si="1"/>
        <v>6249</v>
      </c>
      <c r="G27" s="1">
        <f t="shared" si="2"/>
        <v>3199</v>
      </c>
      <c r="H27" s="1">
        <f t="shared" si="3"/>
        <v>1599</v>
      </c>
      <c r="I27" s="1">
        <f t="shared" si="4"/>
        <v>799</v>
      </c>
      <c r="J27" s="6">
        <f t="shared" si="5"/>
        <v>532.33333333333337</v>
      </c>
      <c r="K27" s="1">
        <f t="shared" si="6"/>
        <v>399</v>
      </c>
      <c r="M27" s="7">
        <f t="shared" si="7"/>
        <v>199</v>
      </c>
      <c r="N27" s="6">
        <f t="shared" si="8"/>
        <v>96.65625</v>
      </c>
      <c r="O27" s="6"/>
      <c r="P27" s="6">
        <f t="shared" si="9"/>
        <v>1.28</v>
      </c>
      <c r="Q27" s="6">
        <f t="shared" si="10"/>
        <v>2.5</v>
      </c>
      <c r="R27" s="6">
        <f t="shared" si="11"/>
        <v>5</v>
      </c>
      <c r="S27" s="6">
        <f t="shared" si="12"/>
        <v>10</v>
      </c>
      <c r="T27" s="6">
        <f t="shared" si="13"/>
        <v>15</v>
      </c>
      <c r="U27" s="6">
        <f t="shared" si="14"/>
        <v>20</v>
      </c>
      <c r="V27" s="1">
        <f t="shared" si="17"/>
        <v>25</v>
      </c>
      <c r="W27" s="7">
        <f t="shared" si="15"/>
        <v>40</v>
      </c>
      <c r="X27" s="6">
        <f t="shared" si="16"/>
        <v>81.92</v>
      </c>
    </row>
    <row r="28" spans="1:24">
      <c r="A28" s="1">
        <v>27</v>
      </c>
      <c r="B28" s="2">
        <v>173</v>
      </c>
      <c r="C28" s="3">
        <v>80</v>
      </c>
      <c r="D28" s="4">
        <v>40</v>
      </c>
      <c r="E28" s="5">
        <f t="shared" si="0"/>
        <v>3200000</v>
      </c>
      <c r="F28" s="1">
        <f t="shared" si="1"/>
        <v>12499</v>
      </c>
      <c r="G28" s="1">
        <f t="shared" si="2"/>
        <v>6399</v>
      </c>
      <c r="H28" s="1">
        <f t="shared" si="3"/>
        <v>3199</v>
      </c>
      <c r="I28" s="1">
        <f t="shared" si="4"/>
        <v>1599</v>
      </c>
      <c r="J28" s="6">
        <f t="shared" si="5"/>
        <v>1065.6666666666667</v>
      </c>
      <c r="K28" s="1">
        <f t="shared" si="6"/>
        <v>799</v>
      </c>
      <c r="M28" s="7">
        <f t="shared" si="7"/>
        <v>399</v>
      </c>
      <c r="N28" s="6">
        <f t="shared" si="8"/>
        <v>194.3125</v>
      </c>
      <c r="O28" s="6"/>
      <c r="P28" s="6">
        <f t="shared" si="9"/>
        <v>1.28</v>
      </c>
      <c r="Q28" s="6">
        <f t="shared" si="10"/>
        <v>2.5</v>
      </c>
      <c r="R28" s="6">
        <f t="shared" si="11"/>
        <v>5</v>
      </c>
      <c r="S28" s="6">
        <f t="shared" si="12"/>
        <v>10</v>
      </c>
      <c r="T28" s="6">
        <f t="shared" si="13"/>
        <v>15</v>
      </c>
      <c r="U28" s="6">
        <f t="shared" si="14"/>
        <v>20</v>
      </c>
      <c r="V28" s="1">
        <f t="shared" si="17"/>
        <v>25</v>
      </c>
      <c r="W28" s="7">
        <f t="shared" si="15"/>
        <v>40</v>
      </c>
      <c r="X28" s="6">
        <f t="shared" si="16"/>
        <v>81.92</v>
      </c>
    </row>
    <row r="29" spans="1:24">
      <c r="A29" s="1">
        <v>28</v>
      </c>
      <c r="B29" s="2">
        <v>150</v>
      </c>
      <c r="C29" s="3">
        <v>80</v>
      </c>
      <c r="D29" s="4">
        <v>60</v>
      </c>
      <c r="E29" s="5">
        <f t="shared" si="0"/>
        <v>4800000</v>
      </c>
      <c r="F29" s="1">
        <f t="shared" si="1"/>
        <v>18749</v>
      </c>
      <c r="G29" s="1">
        <f t="shared" si="2"/>
        <v>9599</v>
      </c>
      <c r="H29" s="1">
        <f t="shared" si="3"/>
        <v>4799</v>
      </c>
      <c r="I29" s="1">
        <f t="shared" si="4"/>
        <v>2399</v>
      </c>
      <c r="J29" s="6">
        <f t="shared" si="5"/>
        <v>1599</v>
      </c>
      <c r="K29" s="1">
        <f t="shared" si="6"/>
        <v>1199</v>
      </c>
      <c r="M29" s="7">
        <f t="shared" si="7"/>
        <v>599</v>
      </c>
      <c r="N29" s="6">
        <f t="shared" si="8"/>
        <v>291.96875</v>
      </c>
      <c r="O29" s="6"/>
      <c r="P29" s="6">
        <f t="shared" si="9"/>
        <v>1.28</v>
      </c>
      <c r="Q29" s="6">
        <f t="shared" si="10"/>
        <v>2.5</v>
      </c>
      <c r="R29" s="6">
        <f t="shared" si="11"/>
        <v>5</v>
      </c>
      <c r="S29" s="6">
        <f t="shared" si="12"/>
        <v>10</v>
      </c>
      <c r="T29" s="6">
        <f t="shared" si="13"/>
        <v>15</v>
      </c>
      <c r="U29" s="6">
        <f t="shared" si="14"/>
        <v>20</v>
      </c>
      <c r="V29" s="1">
        <f t="shared" si="17"/>
        <v>25</v>
      </c>
      <c r="W29" s="7">
        <f t="shared" si="15"/>
        <v>40</v>
      </c>
      <c r="X29" s="6">
        <f t="shared" si="16"/>
        <v>81.92</v>
      </c>
    </row>
    <row r="30" spans="1:24">
      <c r="A30" s="1">
        <v>29</v>
      </c>
      <c r="B30" s="2">
        <v>168</v>
      </c>
      <c r="C30" s="3">
        <v>80</v>
      </c>
      <c r="D30" s="4">
        <v>80</v>
      </c>
      <c r="E30" s="5">
        <f t="shared" si="0"/>
        <v>6400000</v>
      </c>
      <c r="F30" s="1">
        <f t="shared" si="1"/>
        <v>24999</v>
      </c>
      <c r="G30" s="1">
        <f t="shared" si="2"/>
        <v>12799</v>
      </c>
      <c r="H30" s="1">
        <f t="shared" si="3"/>
        <v>6399</v>
      </c>
      <c r="I30" s="1">
        <f t="shared" si="4"/>
        <v>3199</v>
      </c>
      <c r="J30" s="6">
        <f t="shared" si="5"/>
        <v>2132.3333333333335</v>
      </c>
      <c r="K30" s="1">
        <f t="shared" si="6"/>
        <v>1599</v>
      </c>
      <c r="M30" s="7">
        <f t="shared" si="7"/>
        <v>799</v>
      </c>
      <c r="N30" s="6">
        <f t="shared" si="8"/>
        <v>389.625</v>
      </c>
      <c r="O30" s="6"/>
      <c r="P30" s="6">
        <f t="shared" si="9"/>
        <v>1.28</v>
      </c>
      <c r="Q30" s="6">
        <f t="shared" si="10"/>
        <v>2.5</v>
      </c>
      <c r="R30" s="6">
        <f t="shared" si="11"/>
        <v>5</v>
      </c>
      <c r="S30" s="6">
        <f t="shared" si="12"/>
        <v>10</v>
      </c>
      <c r="T30" s="6">
        <f t="shared" si="13"/>
        <v>15</v>
      </c>
      <c r="U30" s="6">
        <f t="shared" si="14"/>
        <v>20</v>
      </c>
      <c r="V30" s="1">
        <f t="shared" si="17"/>
        <v>25</v>
      </c>
      <c r="W30" s="7">
        <f t="shared" si="15"/>
        <v>40</v>
      </c>
      <c r="X30" s="6">
        <f t="shared" si="16"/>
        <v>81.92</v>
      </c>
    </row>
    <row r="31" spans="1:24">
      <c r="A31" s="1">
        <v>30</v>
      </c>
      <c r="B31" s="2">
        <v>163</v>
      </c>
      <c r="C31" s="3">
        <v>80</v>
      </c>
      <c r="D31" s="4">
        <v>100</v>
      </c>
      <c r="E31" s="5">
        <f t="shared" si="0"/>
        <v>8000000</v>
      </c>
      <c r="F31" s="1">
        <f t="shared" si="1"/>
        <v>31249</v>
      </c>
      <c r="G31" s="1">
        <f t="shared" si="2"/>
        <v>15999</v>
      </c>
      <c r="H31" s="1">
        <f t="shared" si="3"/>
        <v>7999</v>
      </c>
      <c r="I31" s="1">
        <f t="shared" si="4"/>
        <v>3999</v>
      </c>
      <c r="J31" s="6">
        <f t="shared" si="5"/>
        <v>2665.6666666666665</v>
      </c>
      <c r="K31" s="1">
        <f t="shared" si="6"/>
        <v>1999</v>
      </c>
      <c r="M31" s="7">
        <f t="shared" si="7"/>
        <v>999</v>
      </c>
      <c r="N31" s="6">
        <f t="shared" si="8"/>
        <v>487.28125</v>
      </c>
      <c r="O31" s="6"/>
      <c r="P31" s="6">
        <f t="shared" si="9"/>
        <v>1.28</v>
      </c>
      <c r="Q31" s="6">
        <f t="shared" si="10"/>
        <v>2.5</v>
      </c>
      <c r="R31" s="6">
        <f t="shared" si="11"/>
        <v>5</v>
      </c>
      <c r="S31" s="6">
        <f t="shared" si="12"/>
        <v>10</v>
      </c>
      <c r="T31" s="6">
        <f t="shared" si="13"/>
        <v>15</v>
      </c>
      <c r="U31" s="6">
        <f t="shared" si="14"/>
        <v>20</v>
      </c>
      <c r="V31" s="1">
        <f t="shared" si="17"/>
        <v>25</v>
      </c>
      <c r="W31" s="7">
        <f t="shared" si="15"/>
        <v>40</v>
      </c>
      <c r="X31" s="6">
        <f t="shared" si="16"/>
        <v>81.92</v>
      </c>
    </row>
    <row r="32" spans="1:24">
      <c r="A32" s="1">
        <v>31</v>
      </c>
      <c r="B32" s="2">
        <v>172</v>
      </c>
      <c r="C32" s="3">
        <v>80</v>
      </c>
      <c r="D32" s="4">
        <v>150</v>
      </c>
      <c r="E32" s="5">
        <f t="shared" si="0"/>
        <v>12000000</v>
      </c>
      <c r="F32" s="1">
        <f t="shared" si="1"/>
        <v>46874</v>
      </c>
      <c r="G32" s="1">
        <f t="shared" si="2"/>
        <v>23999</v>
      </c>
      <c r="H32" s="1">
        <f t="shared" si="3"/>
        <v>11999</v>
      </c>
      <c r="I32" s="1">
        <f t="shared" si="4"/>
        <v>5999</v>
      </c>
      <c r="J32" s="6">
        <f t="shared" si="5"/>
        <v>3999</v>
      </c>
      <c r="K32" s="1">
        <f t="shared" si="6"/>
        <v>2999</v>
      </c>
      <c r="M32" s="7">
        <f t="shared" si="7"/>
        <v>1499</v>
      </c>
      <c r="N32" s="6">
        <f t="shared" si="8"/>
        <v>731.421875</v>
      </c>
      <c r="O32" s="6"/>
      <c r="P32" s="6">
        <f t="shared" si="9"/>
        <v>1.28</v>
      </c>
      <c r="Q32" s="6">
        <f t="shared" si="10"/>
        <v>2.5</v>
      </c>
      <c r="R32" s="6">
        <f t="shared" si="11"/>
        <v>5</v>
      </c>
      <c r="S32" s="6">
        <f t="shared" si="12"/>
        <v>10</v>
      </c>
      <c r="T32" s="6">
        <f t="shared" si="13"/>
        <v>15</v>
      </c>
      <c r="U32" s="6">
        <f t="shared" si="14"/>
        <v>20</v>
      </c>
      <c r="V32" s="1">
        <f t="shared" si="17"/>
        <v>25</v>
      </c>
      <c r="W32" s="7">
        <f t="shared" si="15"/>
        <v>40</v>
      </c>
      <c r="X32" s="6">
        <f t="shared" si="16"/>
        <v>81.92</v>
      </c>
    </row>
    <row r="34" spans="5:15">
      <c r="E34" s="10">
        <v>640</v>
      </c>
      <c r="F34" s="8"/>
      <c r="G34" s="8">
        <f>(G1-640)/((1-0.2)*640)+1</f>
        <v>1.703125</v>
      </c>
      <c r="H34" s="8">
        <f t="shared" ref="H34:M34" si="19">(H1-640)/((1-0.2)*640)+1</f>
        <v>3.65625</v>
      </c>
      <c r="I34" s="8">
        <f t="shared" si="19"/>
        <v>7.5625</v>
      </c>
      <c r="J34" s="8">
        <f t="shared" si="19"/>
        <v>11.46875</v>
      </c>
      <c r="K34" s="8">
        <f t="shared" si="19"/>
        <v>15.375</v>
      </c>
      <c r="L34" s="8">
        <f t="shared" si="19"/>
        <v>19.28125</v>
      </c>
      <c r="M34" s="8">
        <f t="shared" si="19"/>
        <v>31</v>
      </c>
    </row>
    <row r="35" spans="5:15">
      <c r="E35" s="10"/>
      <c r="F35" s="8">
        <f t="shared" ref="F35:F40" si="20">(I3-640)/((1-0.2)*640)+1</f>
        <v>0.138671875</v>
      </c>
      <c r="G35" s="9">
        <f>ROUNDUP(F35,0)*ROUNDUP($G$34,0)</f>
        <v>2</v>
      </c>
      <c r="H35" s="9">
        <f t="shared" ref="H35:M35" si="21">ROUNDUP($F$35,0)*ROUNDUP(H34,0)</f>
        <v>4</v>
      </c>
      <c r="I35" s="9">
        <f t="shared" si="21"/>
        <v>8</v>
      </c>
      <c r="J35" s="9">
        <f t="shared" si="21"/>
        <v>12</v>
      </c>
      <c r="K35" s="9">
        <f t="shared" si="21"/>
        <v>16</v>
      </c>
      <c r="L35" s="9">
        <f t="shared" si="21"/>
        <v>20</v>
      </c>
      <c r="M35" s="9">
        <f t="shared" si="21"/>
        <v>31</v>
      </c>
    </row>
    <row r="36" spans="5:15">
      <c r="E36" s="10"/>
      <c r="F36" s="8">
        <f t="shared" si="20"/>
        <v>0.529296875</v>
      </c>
      <c r="G36" s="9">
        <f>ROUNDUP($F$36,0)*ROUNDUP(G34,0)</f>
        <v>2</v>
      </c>
      <c r="H36" s="9">
        <f t="shared" ref="H36:M36" si="22">ROUNDUP($F$36,0)*ROUNDUP(H34,0)</f>
        <v>4</v>
      </c>
      <c r="I36" s="9">
        <f t="shared" si="22"/>
        <v>8</v>
      </c>
      <c r="J36" s="9">
        <f t="shared" si="22"/>
        <v>12</v>
      </c>
      <c r="K36" s="9">
        <f t="shared" si="22"/>
        <v>16</v>
      </c>
      <c r="L36" s="9">
        <f t="shared" si="22"/>
        <v>20</v>
      </c>
      <c r="M36" s="9">
        <f t="shared" si="22"/>
        <v>31</v>
      </c>
    </row>
    <row r="37" spans="5:15">
      <c r="E37" s="10"/>
      <c r="F37" s="8">
        <f t="shared" si="20"/>
        <v>0.919921875</v>
      </c>
      <c r="G37" s="9">
        <f>ROUNDUP($F$37,0)*ROUNDUP(G34,0)</f>
        <v>2</v>
      </c>
      <c r="H37" s="9">
        <f t="shared" ref="H37:M37" si="23">ROUNDUP($F$37,0)*ROUNDUP(H34,0)</f>
        <v>4</v>
      </c>
      <c r="I37" s="9">
        <f t="shared" si="23"/>
        <v>8</v>
      </c>
      <c r="J37" s="9">
        <f t="shared" si="23"/>
        <v>12</v>
      </c>
      <c r="K37" s="9">
        <f t="shared" si="23"/>
        <v>16</v>
      </c>
      <c r="L37" s="9">
        <f t="shared" si="23"/>
        <v>20</v>
      </c>
      <c r="M37" s="9">
        <f t="shared" si="23"/>
        <v>31</v>
      </c>
      <c r="O37" s="1" t="s">
        <v>3</v>
      </c>
    </row>
    <row r="38" spans="5:15">
      <c r="E38" s="10"/>
      <c r="F38" s="8">
        <f t="shared" si="20"/>
        <v>1.310546875</v>
      </c>
      <c r="G38" s="9">
        <f>ROUNDUP($F$38,0)*ROUNDUP(G34,0)</f>
        <v>4</v>
      </c>
      <c r="H38" s="9">
        <f t="shared" ref="H38:M38" si="24">ROUNDUP($F$38,0)*ROUNDUP(H34,0)</f>
        <v>8</v>
      </c>
      <c r="I38" s="9">
        <f t="shared" si="24"/>
        <v>16</v>
      </c>
      <c r="J38" s="9">
        <f t="shared" si="24"/>
        <v>24</v>
      </c>
      <c r="K38" s="9">
        <f t="shared" si="24"/>
        <v>32</v>
      </c>
      <c r="L38" s="9">
        <f t="shared" si="24"/>
        <v>40</v>
      </c>
      <c r="M38" s="9">
        <f t="shared" si="24"/>
        <v>62</v>
      </c>
    </row>
    <row r="39" spans="5:15">
      <c r="E39" s="10"/>
      <c r="F39" s="8">
        <f t="shared" si="20"/>
        <v>1.701171875</v>
      </c>
      <c r="G39" s="9">
        <f>ROUNDUP($F$39,0)*ROUNDUP(G34,0)</f>
        <v>4</v>
      </c>
      <c r="H39" s="9">
        <f t="shared" ref="H39:M39" si="25">ROUNDUP($F$39,0)*ROUNDUP(H34,0)</f>
        <v>8</v>
      </c>
      <c r="I39" s="9">
        <f t="shared" si="25"/>
        <v>16</v>
      </c>
      <c r="J39" s="9">
        <f t="shared" si="25"/>
        <v>24</v>
      </c>
      <c r="K39" s="9">
        <f t="shared" si="25"/>
        <v>32</v>
      </c>
      <c r="L39" s="9">
        <f t="shared" si="25"/>
        <v>40</v>
      </c>
      <c r="M39" s="9">
        <f t="shared" si="25"/>
        <v>62</v>
      </c>
    </row>
    <row r="40" spans="5:15">
      <c r="E40" s="10"/>
      <c r="F40" s="8">
        <f t="shared" si="20"/>
        <v>2.677734375</v>
      </c>
      <c r="G40" s="9">
        <f>ROUNDUP($F$40,0)*ROUNDUP(G34,0)</f>
        <v>6</v>
      </c>
      <c r="H40" s="9">
        <f t="shared" ref="H40:M40" si="26">ROUNDUP($F$40,0)*ROUNDUP(H34,0)</f>
        <v>12</v>
      </c>
      <c r="I40" s="9">
        <f t="shared" si="26"/>
        <v>24</v>
      </c>
      <c r="J40" s="9">
        <f t="shared" si="26"/>
        <v>36</v>
      </c>
      <c r="K40" s="9">
        <f t="shared" si="26"/>
        <v>48</v>
      </c>
      <c r="L40" s="9">
        <f t="shared" si="26"/>
        <v>60</v>
      </c>
      <c r="M40" s="9">
        <f t="shared" si="26"/>
        <v>93</v>
      </c>
    </row>
    <row r="42" spans="5:15">
      <c r="E42" s="11">
        <v>800</v>
      </c>
      <c r="F42" s="9"/>
      <c r="G42" s="9">
        <f>(G1-800)/((1-0.2)*800)+1</f>
        <v>1.3125</v>
      </c>
      <c r="H42" s="9">
        <f t="shared" ref="H42:L42" si="27">(H1-800)/((1-0.2)*800)+1</f>
        <v>2.875</v>
      </c>
      <c r="I42" s="9">
        <f t="shared" si="27"/>
        <v>6</v>
      </c>
      <c r="J42" s="9">
        <f t="shared" si="27"/>
        <v>9.125</v>
      </c>
      <c r="K42" s="9">
        <f t="shared" si="27"/>
        <v>12.25</v>
      </c>
      <c r="L42" s="9">
        <f t="shared" si="27"/>
        <v>15.375</v>
      </c>
      <c r="M42" s="9">
        <f>(M1-800)/((1-0.2)*800)+1</f>
        <v>24.75</v>
      </c>
    </row>
    <row r="43" spans="5:15">
      <c r="E43" s="11"/>
      <c r="F43" s="9">
        <f>(I3-800)/((1-0.2)*800)+1</f>
        <v>6.0937499999999978E-2</v>
      </c>
      <c r="G43" s="9"/>
      <c r="H43" s="9"/>
      <c r="I43" s="9"/>
      <c r="J43" s="9"/>
      <c r="K43" s="9"/>
      <c r="L43" s="9"/>
      <c r="M43" s="9"/>
    </row>
    <row r="44" spans="5:15">
      <c r="E44" s="11"/>
      <c r="F44" s="9">
        <f t="shared" ref="F44:F48" si="28">(I4-800)/((1-0.2)*800)+1</f>
        <v>0.37343749999999998</v>
      </c>
      <c r="G44" s="9"/>
      <c r="H44" s="9"/>
      <c r="I44" s="9"/>
      <c r="J44" s="9"/>
      <c r="K44" s="9"/>
      <c r="L44" s="9"/>
      <c r="M44" s="9"/>
    </row>
    <row r="45" spans="5:15">
      <c r="E45" s="11"/>
      <c r="F45" s="9">
        <f t="shared" si="28"/>
        <v>0.68593749999999998</v>
      </c>
      <c r="G45" s="9"/>
      <c r="H45" s="9"/>
      <c r="I45" s="9"/>
      <c r="J45" s="9"/>
      <c r="K45" s="9"/>
      <c r="L45" s="9"/>
      <c r="M45" s="9"/>
    </row>
    <row r="46" spans="5:15">
      <c r="E46" s="11"/>
      <c r="F46" s="9">
        <f t="shared" si="28"/>
        <v>0.99843749999999998</v>
      </c>
      <c r="G46" s="9"/>
      <c r="H46" s="9"/>
      <c r="I46" s="9"/>
      <c r="J46" s="9"/>
      <c r="K46" s="9"/>
      <c r="L46" s="9"/>
      <c r="M46" s="9"/>
    </row>
    <row r="47" spans="5:15">
      <c r="E47" s="11"/>
      <c r="F47" s="9">
        <f t="shared" si="28"/>
        <v>1.3109375000000001</v>
      </c>
      <c r="G47" s="9"/>
      <c r="H47" s="9"/>
      <c r="I47" s="9"/>
      <c r="J47" s="9"/>
      <c r="K47" s="9"/>
      <c r="L47" s="9"/>
      <c r="M47" s="9"/>
    </row>
    <row r="48" spans="5:15">
      <c r="E48" s="11"/>
      <c r="F48" s="9">
        <f t="shared" si="28"/>
        <v>2.0921875000000001</v>
      </c>
      <c r="G48" s="9"/>
      <c r="H48" s="9"/>
      <c r="I48" s="9"/>
      <c r="J48" s="9"/>
      <c r="K48" s="9"/>
      <c r="L48" s="9"/>
      <c r="M48" s="9"/>
    </row>
  </sheetData>
  <autoFilter ref="B1:X1" xr:uid="{F267C42D-6B77-4A64-9B72-F9EEE9B78522}">
    <sortState xmlns:xlrd2="http://schemas.microsoft.com/office/spreadsheetml/2017/richdata2" ref="B2:X33">
      <sortCondition ref="C1"/>
    </sortState>
  </autoFilter>
  <mergeCells count="2">
    <mergeCell ref="E34:E40"/>
    <mergeCell ref="E42:E4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5AB7-D2B1-4D04-8213-4F03B26A0E88}">
  <dimension ref="A1:F33"/>
  <sheetViews>
    <sheetView tabSelected="1" workbookViewId="0">
      <selection activeCell="D2" sqref="D2"/>
    </sheetView>
  </sheetViews>
  <sheetFormatPr defaultRowHeight="14.25"/>
  <sheetData>
    <row r="1" spans="1:6">
      <c r="D1" s="12" t="s">
        <v>4</v>
      </c>
      <c r="E1" s="12"/>
      <c r="F1" s="12"/>
    </row>
    <row r="2" spans="1:6">
      <c r="A2" s="1" t="s">
        <v>1</v>
      </c>
      <c r="B2" s="1" t="s">
        <v>2</v>
      </c>
      <c r="C2" s="1" t="s">
        <v>0</v>
      </c>
      <c r="D2">
        <v>1024</v>
      </c>
      <c r="E2">
        <v>2048</v>
      </c>
      <c r="F2">
        <v>4096</v>
      </c>
    </row>
    <row r="3" spans="1:6">
      <c r="A3" s="3">
        <v>5</v>
      </c>
      <c r="B3" s="4">
        <v>20</v>
      </c>
      <c r="C3" s="5">
        <f t="shared" ref="C3:C33" si="0">A3*B3*1000</f>
        <v>100000</v>
      </c>
      <c r="D3">
        <f>(C3-$D$2)/((1-0.5)*$D$2)+1</f>
        <v>194.3125</v>
      </c>
      <c r="E3">
        <f>(C3-$E$2)/((1-0.5)*$E$2)+1</f>
        <v>96.65625</v>
      </c>
      <c r="F3">
        <f>(C3-$F$2)/((1-0.5)*$F$2)+1</f>
        <v>47.828125</v>
      </c>
    </row>
    <row r="4" spans="1:6">
      <c r="A4" s="3">
        <v>20</v>
      </c>
      <c r="B4" s="4">
        <v>20</v>
      </c>
      <c r="C4" s="5">
        <f t="shared" si="0"/>
        <v>400000</v>
      </c>
      <c r="D4">
        <f t="shared" ref="D4:D33" si="1">(C4-$D$2)/((1-0.5)*$D$2)+1</f>
        <v>780.25</v>
      </c>
      <c r="E4">
        <f t="shared" ref="E4:E33" si="2">(C4-$E$2)/((1-0.5)*$E$2)+1</f>
        <v>389.625</v>
      </c>
      <c r="F4">
        <f t="shared" ref="F4:F33" si="3">(C4-$F$2)/((1-0.5)*$F$2)+1</f>
        <v>194.3125</v>
      </c>
    </row>
    <row r="5" spans="1:6">
      <c r="A5" s="3">
        <v>20</v>
      </c>
      <c r="B5" s="4">
        <v>40</v>
      </c>
      <c r="C5" s="5">
        <f t="shared" si="0"/>
        <v>800000</v>
      </c>
      <c r="D5">
        <f t="shared" si="1"/>
        <v>1561.5</v>
      </c>
      <c r="E5">
        <f t="shared" si="2"/>
        <v>780.25</v>
      </c>
      <c r="F5">
        <f t="shared" si="3"/>
        <v>389.625</v>
      </c>
    </row>
    <row r="6" spans="1:6">
      <c r="A6" s="3">
        <v>20</v>
      </c>
      <c r="B6" s="4">
        <v>60</v>
      </c>
      <c r="C6" s="5">
        <f t="shared" si="0"/>
        <v>1200000</v>
      </c>
      <c r="D6">
        <f t="shared" si="1"/>
        <v>2342.75</v>
      </c>
      <c r="E6">
        <f t="shared" si="2"/>
        <v>1170.875</v>
      </c>
      <c r="F6">
        <f t="shared" si="3"/>
        <v>584.9375</v>
      </c>
    </row>
    <row r="7" spans="1:6">
      <c r="A7" s="3">
        <v>20</v>
      </c>
      <c r="B7" s="4">
        <v>80</v>
      </c>
      <c r="C7" s="5">
        <f t="shared" si="0"/>
        <v>1600000</v>
      </c>
      <c r="D7">
        <f t="shared" si="1"/>
        <v>3124</v>
      </c>
      <c r="E7">
        <f t="shared" si="2"/>
        <v>1561.5</v>
      </c>
      <c r="F7">
        <f t="shared" si="3"/>
        <v>780.25</v>
      </c>
    </row>
    <row r="8" spans="1:6">
      <c r="A8" s="3">
        <v>20</v>
      </c>
      <c r="B8" s="4">
        <v>100</v>
      </c>
      <c r="C8" s="5">
        <f t="shared" si="0"/>
        <v>2000000</v>
      </c>
      <c r="D8">
        <f t="shared" si="1"/>
        <v>3905.25</v>
      </c>
      <c r="E8">
        <f t="shared" si="2"/>
        <v>1952.125</v>
      </c>
      <c r="F8">
        <f t="shared" si="3"/>
        <v>975.5625</v>
      </c>
    </row>
    <row r="9" spans="1:6">
      <c r="A9" s="3">
        <v>20</v>
      </c>
      <c r="B9" s="4">
        <v>150</v>
      </c>
      <c r="C9" s="5">
        <f t="shared" si="0"/>
        <v>3000000</v>
      </c>
      <c r="D9">
        <f t="shared" si="1"/>
        <v>5858.375</v>
      </c>
      <c r="E9">
        <f t="shared" si="2"/>
        <v>2928.6875</v>
      </c>
      <c r="F9">
        <f t="shared" si="3"/>
        <v>1463.84375</v>
      </c>
    </row>
    <row r="10" spans="1:6">
      <c r="A10" s="3">
        <v>30</v>
      </c>
      <c r="B10" s="4">
        <v>20</v>
      </c>
      <c r="C10" s="5">
        <f t="shared" si="0"/>
        <v>600000</v>
      </c>
      <c r="D10">
        <f t="shared" si="1"/>
        <v>1170.875</v>
      </c>
      <c r="E10">
        <f t="shared" si="2"/>
        <v>584.9375</v>
      </c>
      <c r="F10">
        <f t="shared" si="3"/>
        <v>291.96875</v>
      </c>
    </row>
    <row r="11" spans="1:6">
      <c r="A11" s="3">
        <v>30</v>
      </c>
      <c r="B11" s="4">
        <v>40</v>
      </c>
      <c r="C11" s="5">
        <f t="shared" si="0"/>
        <v>1200000</v>
      </c>
      <c r="D11">
        <f t="shared" si="1"/>
        <v>2342.75</v>
      </c>
      <c r="E11">
        <f t="shared" si="2"/>
        <v>1170.875</v>
      </c>
      <c r="F11">
        <f t="shared" si="3"/>
        <v>584.9375</v>
      </c>
    </row>
    <row r="12" spans="1:6">
      <c r="A12" s="3">
        <v>30</v>
      </c>
      <c r="B12" s="4">
        <v>60</v>
      </c>
      <c r="C12" s="5">
        <f t="shared" si="0"/>
        <v>1800000</v>
      </c>
      <c r="D12">
        <f t="shared" si="1"/>
        <v>3514.625</v>
      </c>
      <c r="E12">
        <f t="shared" si="2"/>
        <v>1756.8125</v>
      </c>
      <c r="F12">
        <f t="shared" si="3"/>
        <v>877.90625</v>
      </c>
    </row>
    <row r="13" spans="1:6">
      <c r="A13" s="3">
        <v>30</v>
      </c>
      <c r="B13" s="4">
        <v>80</v>
      </c>
      <c r="C13" s="5">
        <f t="shared" si="0"/>
        <v>2400000</v>
      </c>
      <c r="D13">
        <f t="shared" si="1"/>
        <v>4686.5</v>
      </c>
      <c r="E13">
        <f t="shared" si="2"/>
        <v>2342.75</v>
      </c>
      <c r="F13">
        <f t="shared" si="3"/>
        <v>1170.875</v>
      </c>
    </row>
    <row r="14" spans="1:6">
      <c r="A14" s="3">
        <v>30</v>
      </c>
      <c r="B14" s="4">
        <v>100</v>
      </c>
      <c r="C14" s="5">
        <f t="shared" si="0"/>
        <v>3000000</v>
      </c>
      <c r="D14">
        <f t="shared" si="1"/>
        <v>5858.375</v>
      </c>
      <c r="E14">
        <f t="shared" si="2"/>
        <v>2928.6875</v>
      </c>
      <c r="F14">
        <f t="shared" si="3"/>
        <v>1463.84375</v>
      </c>
    </row>
    <row r="15" spans="1:6">
      <c r="A15" s="3">
        <v>30</v>
      </c>
      <c r="B15" s="4">
        <v>150</v>
      </c>
      <c r="C15" s="5">
        <f t="shared" si="0"/>
        <v>4500000</v>
      </c>
      <c r="D15">
        <f t="shared" si="1"/>
        <v>8788.0625</v>
      </c>
      <c r="E15">
        <f t="shared" si="2"/>
        <v>4393.53125</v>
      </c>
      <c r="F15">
        <f t="shared" si="3"/>
        <v>2196.265625</v>
      </c>
    </row>
    <row r="16" spans="1:6">
      <c r="A16" s="3">
        <v>40</v>
      </c>
      <c r="B16" s="4">
        <v>20</v>
      </c>
      <c r="C16" s="5">
        <f t="shared" si="0"/>
        <v>800000</v>
      </c>
      <c r="D16">
        <f t="shared" si="1"/>
        <v>1561.5</v>
      </c>
      <c r="E16">
        <f t="shared" si="2"/>
        <v>780.25</v>
      </c>
      <c r="F16">
        <f t="shared" si="3"/>
        <v>389.625</v>
      </c>
    </row>
    <row r="17" spans="1:6">
      <c r="A17" s="3">
        <v>40</v>
      </c>
      <c r="B17" s="4">
        <v>40</v>
      </c>
      <c r="C17" s="5">
        <f t="shared" si="0"/>
        <v>1600000</v>
      </c>
      <c r="D17">
        <f t="shared" si="1"/>
        <v>3124</v>
      </c>
      <c r="E17">
        <f t="shared" si="2"/>
        <v>1561.5</v>
      </c>
      <c r="F17">
        <f t="shared" si="3"/>
        <v>780.25</v>
      </c>
    </row>
    <row r="18" spans="1:6">
      <c r="A18" s="3">
        <v>40</v>
      </c>
      <c r="B18" s="4">
        <v>60</v>
      </c>
      <c r="C18" s="5">
        <f t="shared" si="0"/>
        <v>2400000</v>
      </c>
      <c r="D18">
        <f t="shared" si="1"/>
        <v>4686.5</v>
      </c>
      <c r="E18">
        <f t="shared" si="2"/>
        <v>2342.75</v>
      </c>
      <c r="F18">
        <f t="shared" si="3"/>
        <v>1170.875</v>
      </c>
    </row>
    <row r="19" spans="1:6">
      <c r="A19" s="3">
        <v>40</v>
      </c>
      <c r="B19" s="4">
        <v>80</v>
      </c>
      <c r="C19" s="5">
        <f t="shared" si="0"/>
        <v>3200000</v>
      </c>
      <c r="D19">
        <f t="shared" si="1"/>
        <v>6249</v>
      </c>
      <c r="E19">
        <f t="shared" si="2"/>
        <v>3124</v>
      </c>
      <c r="F19">
        <f t="shared" si="3"/>
        <v>1561.5</v>
      </c>
    </row>
    <row r="20" spans="1:6">
      <c r="A20" s="3">
        <v>40</v>
      </c>
      <c r="B20" s="4">
        <v>100</v>
      </c>
      <c r="C20" s="5">
        <f t="shared" si="0"/>
        <v>4000000</v>
      </c>
      <c r="D20">
        <f t="shared" si="1"/>
        <v>7811.5</v>
      </c>
      <c r="E20">
        <f t="shared" si="2"/>
        <v>3905.25</v>
      </c>
      <c r="F20">
        <f t="shared" si="3"/>
        <v>1952.125</v>
      </c>
    </row>
    <row r="21" spans="1:6">
      <c r="A21" s="3">
        <v>40</v>
      </c>
      <c r="B21" s="4">
        <v>150</v>
      </c>
      <c r="C21" s="5">
        <f t="shared" si="0"/>
        <v>6000000</v>
      </c>
      <c r="D21">
        <f t="shared" si="1"/>
        <v>11717.75</v>
      </c>
      <c r="E21">
        <f t="shared" si="2"/>
        <v>5858.375</v>
      </c>
      <c r="F21">
        <f t="shared" si="3"/>
        <v>2928.6875</v>
      </c>
    </row>
    <row r="22" spans="1:6">
      <c r="A22" s="3">
        <v>50</v>
      </c>
      <c r="B22" s="4">
        <v>20</v>
      </c>
      <c r="C22" s="5">
        <f t="shared" si="0"/>
        <v>1000000</v>
      </c>
      <c r="D22">
        <f t="shared" si="1"/>
        <v>1952.125</v>
      </c>
      <c r="E22">
        <f t="shared" si="2"/>
        <v>975.5625</v>
      </c>
      <c r="F22">
        <f t="shared" si="3"/>
        <v>487.28125</v>
      </c>
    </row>
    <row r="23" spans="1:6">
      <c r="A23" s="3">
        <v>50</v>
      </c>
      <c r="B23" s="4">
        <v>40</v>
      </c>
      <c r="C23" s="5">
        <f t="shared" si="0"/>
        <v>2000000</v>
      </c>
      <c r="D23">
        <f t="shared" si="1"/>
        <v>3905.25</v>
      </c>
      <c r="E23">
        <f t="shared" si="2"/>
        <v>1952.125</v>
      </c>
      <c r="F23">
        <f t="shared" si="3"/>
        <v>975.5625</v>
      </c>
    </row>
    <row r="24" spans="1:6">
      <c r="A24" s="3">
        <v>50</v>
      </c>
      <c r="B24" s="4">
        <v>60</v>
      </c>
      <c r="C24" s="5">
        <f t="shared" si="0"/>
        <v>3000000</v>
      </c>
      <c r="D24">
        <f t="shared" si="1"/>
        <v>5858.375</v>
      </c>
      <c r="E24">
        <f t="shared" si="2"/>
        <v>2928.6875</v>
      </c>
      <c r="F24">
        <f t="shared" si="3"/>
        <v>1463.84375</v>
      </c>
    </row>
    <row r="25" spans="1:6">
      <c r="A25" s="3">
        <v>50</v>
      </c>
      <c r="B25" s="4">
        <v>80</v>
      </c>
      <c r="C25" s="5">
        <f t="shared" si="0"/>
        <v>4000000</v>
      </c>
      <c r="D25">
        <f t="shared" si="1"/>
        <v>7811.5</v>
      </c>
      <c r="E25">
        <f t="shared" si="2"/>
        <v>3905.25</v>
      </c>
      <c r="F25">
        <f t="shared" si="3"/>
        <v>1952.125</v>
      </c>
    </row>
    <row r="26" spans="1:6">
      <c r="A26" s="3">
        <v>50</v>
      </c>
      <c r="B26" s="4">
        <v>100</v>
      </c>
      <c r="C26" s="5">
        <f t="shared" si="0"/>
        <v>5000000</v>
      </c>
      <c r="D26">
        <f t="shared" si="1"/>
        <v>9764.625</v>
      </c>
      <c r="E26">
        <f t="shared" si="2"/>
        <v>4881.8125</v>
      </c>
      <c r="F26">
        <f t="shared" si="3"/>
        <v>2440.40625</v>
      </c>
    </row>
    <row r="27" spans="1:6">
      <c r="A27" s="3">
        <v>50</v>
      </c>
      <c r="B27" s="4">
        <v>150</v>
      </c>
      <c r="C27" s="5">
        <f t="shared" si="0"/>
        <v>7500000</v>
      </c>
      <c r="D27">
        <f t="shared" si="1"/>
        <v>14647.4375</v>
      </c>
      <c r="E27">
        <f t="shared" si="2"/>
        <v>7323.21875</v>
      </c>
      <c r="F27">
        <f t="shared" si="3"/>
        <v>3661.109375</v>
      </c>
    </row>
    <row r="28" spans="1:6">
      <c r="A28" s="3">
        <v>80</v>
      </c>
      <c r="B28" s="4">
        <v>20</v>
      </c>
      <c r="C28" s="5">
        <f t="shared" si="0"/>
        <v>1600000</v>
      </c>
      <c r="D28">
        <f t="shared" si="1"/>
        <v>3124</v>
      </c>
      <c r="E28">
        <f t="shared" si="2"/>
        <v>1561.5</v>
      </c>
      <c r="F28">
        <f t="shared" si="3"/>
        <v>780.25</v>
      </c>
    </row>
    <row r="29" spans="1:6">
      <c r="A29" s="3">
        <v>80</v>
      </c>
      <c r="B29" s="4">
        <v>40</v>
      </c>
      <c r="C29" s="5">
        <f t="shared" si="0"/>
        <v>3200000</v>
      </c>
      <c r="D29">
        <f t="shared" si="1"/>
        <v>6249</v>
      </c>
      <c r="E29">
        <f t="shared" si="2"/>
        <v>3124</v>
      </c>
      <c r="F29">
        <f t="shared" si="3"/>
        <v>1561.5</v>
      </c>
    </row>
    <row r="30" spans="1:6">
      <c r="A30" s="3">
        <v>80</v>
      </c>
      <c r="B30" s="4">
        <v>60</v>
      </c>
      <c r="C30" s="5">
        <f t="shared" si="0"/>
        <v>4800000</v>
      </c>
      <c r="D30">
        <f t="shared" si="1"/>
        <v>9374</v>
      </c>
      <c r="E30">
        <f t="shared" si="2"/>
        <v>4686.5</v>
      </c>
      <c r="F30">
        <f t="shared" si="3"/>
        <v>2342.75</v>
      </c>
    </row>
    <row r="31" spans="1:6">
      <c r="A31" s="3">
        <v>80</v>
      </c>
      <c r="B31" s="4">
        <v>80</v>
      </c>
      <c r="C31" s="5">
        <f t="shared" si="0"/>
        <v>6400000</v>
      </c>
      <c r="D31">
        <f t="shared" si="1"/>
        <v>12499</v>
      </c>
      <c r="E31">
        <f t="shared" si="2"/>
        <v>6249</v>
      </c>
      <c r="F31">
        <f t="shared" si="3"/>
        <v>3124</v>
      </c>
    </row>
    <row r="32" spans="1:6">
      <c r="A32" s="3">
        <v>80</v>
      </c>
      <c r="B32" s="4">
        <v>100</v>
      </c>
      <c r="C32" s="5">
        <f t="shared" si="0"/>
        <v>8000000</v>
      </c>
      <c r="D32">
        <f t="shared" si="1"/>
        <v>15624</v>
      </c>
      <c r="E32">
        <f t="shared" si="2"/>
        <v>7811.5</v>
      </c>
      <c r="F32">
        <f t="shared" si="3"/>
        <v>3905.25</v>
      </c>
    </row>
    <row r="33" spans="1:6">
      <c r="A33" s="3">
        <v>80</v>
      </c>
      <c r="B33" s="4">
        <v>150</v>
      </c>
      <c r="C33" s="5">
        <f t="shared" si="0"/>
        <v>12000000</v>
      </c>
      <c r="D33">
        <f t="shared" si="1"/>
        <v>23436.5</v>
      </c>
      <c r="E33">
        <f t="shared" si="2"/>
        <v>11717.75</v>
      </c>
      <c r="F33">
        <f t="shared" si="3"/>
        <v>5858.375</v>
      </c>
    </row>
  </sheetData>
  <mergeCells count="1">
    <mergeCell ref="D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77D8-5D43-4495-A99C-BB7CC39FCEE0}">
  <dimension ref="A1:B23"/>
  <sheetViews>
    <sheetView workbookViewId="0">
      <selection activeCell="B14" sqref="B14"/>
    </sheetView>
  </sheetViews>
  <sheetFormatPr defaultRowHeight="14.25"/>
  <sheetData>
    <row r="1" spans="1:2">
      <c r="A1">
        <v>40</v>
      </c>
    </row>
    <row r="2" spans="1:2">
      <c r="A2">
        <v>20</v>
      </c>
    </row>
    <row r="3" spans="1:2">
      <c r="A3">
        <v>10</v>
      </c>
    </row>
    <row r="4" spans="1:2">
      <c r="A4">
        <v>7.56</v>
      </c>
    </row>
    <row r="5" spans="1:2">
      <c r="A5">
        <v>2</v>
      </c>
    </row>
    <row r="6" spans="1:2">
      <c r="A6">
        <v>1</v>
      </c>
    </row>
    <row r="7" spans="1:2">
      <c r="A7">
        <v>0.5</v>
      </c>
      <c r="B7">
        <f>A7/$B$23</f>
        <v>100</v>
      </c>
    </row>
    <row r="8" spans="1:2">
      <c r="A8">
        <v>0.3</v>
      </c>
      <c r="B8">
        <f t="shared" ref="B8:B15" si="0">A8/$B$23</f>
        <v>60</v>
      </c>
    </row>
    <row r="9" spans="1:2">
      <c r="A9">
        <v>0.25</v>
      </c>
      <c r="B9">
        <f t="shared" si="0"/>
        <v>50</v>
      </c>
    </row>
    <row r="10" spans="1:2">
      <c r="A10">
        <v>0.2</v>
      </c>
      <c r="B10">
        <f t="shared" si="0"/>
        <v>40</v>
      </c>
    </row>
    <row r="11" spans="1:2">
      <c r="A11">
        <v>0.12</v>
      </c>
      <c r="B11">
        <f t="shared" si="0"/>
        <v>24</v>
      </c>
    </row>
    <row r="12" spans="1:2">
      <c r="A12">
        <v>6.25E-2</v>
      </c>
      <c r="B12">
        <f t="shared" si="0"/>
        <v>12.5</v>
      </c>
    </row>
    <row r="13" spans="1:2">
      <c r="A13">
        <v>5.2299999999999999E-2</v>
      </c>
      <c r="B13">
        <f t="shared" si="0"/>
        <v>10.459999999999999</v>
      </c>
    </row>
    <row r="14" spans="1:2">
      <c r="A14">
        <v>0.04</v>
      </c>
      <c r="B14">
        <f t="shared" si="0"/>
        <v>8</v>
      </c>
    </row>
    <row r="15" spans="1:2">
      <c r="A15">
        <v>6.0000000000000001E-3</v>
      </c>
      <c r="B15">
        <f t="shared" si="0"/>
        <v>1.2</v>
      </c>
    </row>
    <row r="23" spans="2:2">
      <c r="B23">
        <v>5.0000000000000001E-3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C42D-6B77-4A64-9B72-F9EEE9B78522}">
  <dimension ref="A1:AF32"/>
  <sheetViews>
    <sheetView workbookViewId="0">
      <selection activeCell="G1" sqref="G1"/>
    </sheetView>
  </sheetViews>
  <sheetFormatPr defaultColWidth="8.625" defaultRowHeight="14.25"/>
  <cols>
    <col min="1" max="4" width="8.75" style="1" bestFit="1" customWidth="1"/>
    <col min="5" max="5" width="9.125" style="1" bestFit="1" customWidth="1"/>
    <col min="6" max="14" width="8.75" style="1" bestFit="1" customWidth="1"/>
    <col min="15" max="15" width="8.625" style="1"/>
    <col min="16" max="24" width="8.75" style="1" bestFit="1" customWidth="1"/>
    <col min="25" max="25" width="8.625" style="1"/>
    <col min="26" max="32" width="8.75" style="1" bestFit="1" customWidth="1"/>
    <col min="33" max="16384" width="8.625" style="1"/>
  </cols>
  <sheetData>
    <row r="1" spans="1:32">
      <c r="C1" s="1" t="s">
        <v>1</v>
      </c>
      <c r="D1" s="1" t="s">
        <v>2</v>
      </c>
      <c r="E1" s="1" t="s">
        <v>0</v>
      </c>
      <c r="F1" s="1">
        <v>512</v>
      </c>
      <c r="G1" s="1">
        <v>1024</v>
      </c>
      <c r="H1" s="1">
        <v>2048</v>
      </c>
      <c r="I1" s="1">
        <v>4096</v>
      </c>
      <c r="J1" s="1">
        <v>6400</v>
      </c>
      <c r="K1" s="1">
        <v>8192</v>
      </c>
      <c r="L1" s="1">
        <v>10400</v>
      </c>
      <c r="M1" s="1">
        <v>16384</v>
      </c>
      <c r="N1" s="1">
        <v>32768</v>
      </c>
    </row>
    <row r="2" spans="1:32">
      <c r="A2" s="1">
        <v>1</v>
      </c>
      <c r="B2" s="2">
        <v>1113</v>
      </c>
      <c r="C2" s="3">
        <v>5</v>
      </c>
      <c r="D2" s="4">
        <v>20</v>
      </c>
      <c r="E2" s="5">
        <f t="shared" ref="E2:E32" si="0">C2*D2*1000</f>
        <v>100000</v>
      </c>
      <c r="F2" s="6">
        <f t="shared" ref="F2:F32" si="1">1+(E2-$F$1)/((1-0.5)*$F$1)</f>
        <v>389.625</v>
      </c>
      <c r="G2" s="7">
        <f t="shared" ref="G2:G32" si="2">1+(E2-$G$1)/((1-0.5)*$G$1)</f>
        <v>194.3125</v>
      </c>
      <c r="H2" s="1">
        <f t="shared" ref="H2:H32" si="3">1+(E2-$H$1)/((1-0.5)*$H$1)</f>
        <v>96.65625</v>
      </c>
      <c r="I2" s="1">
        <f t="shared" ref="I2:I32" si="4">1+(E2-$I$1)/((1-0.5)*$I$1)</f>
        <v>47.828125</v>
      </c>
      <c r="J2" s="6">
        <f t="shared" ref="J2:J32" si="5">1+(E2-$J$1)/((1-0.5)*$J$1)</f>
        <v>30.25</v>
      </c>
      <c r="K2" s="1">
        <f t="shared" ref="K2:K32" si="6">1+(E2-$K$1)/((1-0.5)*$K$1)</f>
        <v>23.4140625</v>
      </c>
      <c r="M2" s="1">
        <f t="shared" ref="M2:M32" si="7">1+(E2-$M$1)/((1-0.5)*$M$1)</f>
        <v>11.20703125</v>
      </c>
      <c r="N2" s="1">
        <f t="shared" ref="N2:N32" si="8">1+(E2-$N$1)/((1-0.5)*$N$1)</f>
        <v>5.103515625</v>
      </c>
      <c r="P2" s="1">
        <f t="shared" ref="P2:P32" si="9">0.2*$F$1/C2</f>
        <v>20.48</v>
      </c>
      <c r="Q2" s="7">
        <f t="shared" ref="Q2:Q32" si="10">0.2*$G$1/C2</f>
        <v>40.96</v>
      </c>
      <c r="R2" s="1">
        <f t="shared" ref="R2:R32" si="11">0.2*$H$1/C2</f>
        <v>81.92</v>
      </c>
      <c r="S2" s="1">
        <f t="shared" ref="S2:S32" si="12">0.2*$I$1/C2</f>
        <v>163.84</v>
      </c>
      <c r="T2" s="6">
        <f t="shared" ref="T2:T32" si="13">0.2*$J$1/C2</f>
        <v>256</v>
      </c>
      <c r="U2" s="1">
        <f t="shared" ref="U2:U32" si="14">0.2*$K$1/C2</f>
        <v>327.68</v>
      </c>
      <c r="V2" s="1">
        <f>0.2*$L$1/C2</f>
        <v>416</v>
      </c>
      <c r="W2" s="1">
        <f t="shared" ref="W2:W32" si="15">0.2*$M$1/C2</f>
        <v>655.36</v>
      </c>
      <c r="X2" s="1">
        <f t="shared" ref="X2:X32" si="16">0.2*$N$1/C2</f>
        <v>1310.72</v>
      </c>
      <c r="Z2" s="1">
        <f>(F1-640)/((1-0.2)*640)+1</f>
        <v>0.75</v>
      </c>
      <c r="AA2" s="1">
        <f>(G1-640)/((1-0.2)*640)+1</f>
        <v>1.75</v>
      </c>
      <c r="AB2" s="1">
        <f>(H1-640)/((1-0.2)*640)+1</f>
        <v>3.75</v>
      </c>
      <c r="AC2" s="1">
        <f>(I1-640)/((1-0.2)*640)+1</f>
        <v>7.75</v>
      </c>
      <c r="AD2" s="1">
        <f>(K1-640)/((1-0.2)*640)+1</f>
        <v>15.75</v>
      </c>
      <c r="AE2" s="1">
        <f>(M1-640)/((1-0.2)*640)+1</f>
        <v>31.75</v>
      </c>
      <c r="AF2" s="1">
        <f>(N1-640)/((1-0.2)*640)+1</f>
        <v>63.75</v>
      </c>
    </row>
    <row r="3" spans="1:32">
      <c r="A3" s="1">
        <v>2</v>
      </c>
      <c r="B3" s="2">
        <v>668</v>
      </c>
      <c r="C3" s="3">
        <v>20</v>
      </c>
      <c r="D3" s="4">
        <v>20</v>
      </c>
      <c r="E3" s="5">
        <f t="shared" si="0"/>
        <v>400000</v>
      </c>
      <c r="F3" s="1">
        <f t="shared" si="1"/>
        <v>1561.5</v>
      </c>
      <c r="G3" s="1">
        <f t="shared" si="2"/>
        <v>780.25</v>
      </c>
      <c r="H3" s="1">
        <f t="shared" si="3"/>
        <v>389.625</v>
      </c>
      <c r="I3" s="7">
        <f t="shared" si="4"/>
        <v>194.3125</v>
      </c>
      <c r="J3" s="6">
        <f t="shared" si="5"/>
        <v>124</v>
      </c>
      <c r="K3" s="1">
        <f t="shared" si="6"/>
        <v>96.65625</v>
      </c>
      <c r="M3" s="6">
        <f t="shared" si="7"/>
        <v>47.828125</v>
      </c>
      <c r="N3" s="6">
        <f t="shared" si="8"/>
        <v>23.4140625</v>
      </c>
      <c r="O3" s="6"/>
      <c r="P3" s="6">
        <f t="shared" si="9"/>
        <v>5.12</v>
      </c>
      <c r="Q3" s="6">
        <f t="shared" si="10"/>
        <v>10.24</v>
      </c>
      <c r="R3" s="6">
        <f t="shared" si="11"/>
        <v>20.48</v>
      </c>
      <c r="S3" s="7">
        <f t="shared" si="12"/>
        <v>40.96</v>
      </c>
      <c r="T3" s="6">
        <f t="shared" si="13"/>
        <v>64</v>
      </c>
      <c r="U3" s="6">
        <f t="shared" si="14"/>
        <v>81.92</v>
      </c>
      <c r="V3" s="1">
        <f t="shared" ref="V3:V32" si="17">0.2*$L$1/C3</f>
        <v>104</v>
      </c>
      <c r="W3" s="6">
        <f t="shared" si="15"/>
        <v>163.84</v>
      </c>
      <c r="X3" s="6">
        <f t="shared" si="16"/>
        <v>327.68</v>
      </c>
    </row>
    <row r="4" spans="1:32">
      <c r="A4" s="1">
        <v>3</v>
      </c>
      <c r="B4" s="2">
        <v>155</v>
      </c>
      <c r="C4" s="3">
        <v>20</v>
      </c>
      <c r="D4" s="4">
        <v>40</v>
      </c>
      <c r="E4" s="5">
        <f t="shared" si="0"/>
        <v>800000</v>
      </c>
      <c r="F4" s="1">
        <f t="shared" si="1"/>
        <v>3124</v>
      </c>
      <c r="G4" s="1">
        <f t="shared" si="2"/>
        <v>1561.5</v>
      </c>
      <c r="H4" s="1">
        <f t="shared" si="3"/>
        <v>780.25</v>
      </c>
      <c r="I4" s="7">
        <f t="shared" si="4"/>
        <v>389.625</v>
      </c>
      <c r="J4" s="6">
        <f t="shared" si="5"/>
        <v>249</v>
      </c>
      <c r="K4" s="6">
        <f t="shared" si="6"/>
        <v>194.3125</v>
      </c>
      <c r="L4" s="6"/>
      <c r="M4" s="6">
        <f t="shared" si="7"/>
        <v>96.65625</v>
      </c>
      <c r="N4" s="6">
        <f t="shared" si="8"/>
        <v>47.828125</v>
      </c>
      <c r="O4" s="6"/>
      <c r="P4" s="6">
        <f t="shared" si="9"/>
        <v>5.12</v>
      </c>
      <c r="Q4" s="6">
        <f t="shared" si="10"/>
        <v>10.24</v>
      </c>
      <c r="R4" s="6">
        <f t="shared" si="11"/>
        <v>20.48</v>
      </c>
      <c r="S4" s="7">
        <f t="shared" si="12"/>
        <v>40.96</v>
      </c>
      <c r="T4" s="6">
        <f t="shared" si="13"/>
        <v>64</v>
      </c>
      <c r="U4" s="6">
        <f t="shared" si="14"/>
        <v>81.92</v>
      </c>
      <c r="V4" s="1">
        <f t="shared" si="17"/>
        <v>104</v>
      </c>
      <c r="W4" s="6">
        <f t="shared" si="15"/>
        <v>163.84</v>
      </c>
      <c r="X4" s="6">
        <f t="shared" si="16"/>
        <v>327.68</v>
      </c>
    </row>
    <row r="5" spans="1:32">
      <c r="A5" s="1">
        <v>4</v>
      </c>
      <c r="B5" s="2">
        <v>148</v>
      </c>
      <c r="C5" s="3">
        <v>20</v>
      </c>
      <c r="D5" s="4">
        <v>60</v>
      </c>
      <c r="E5" s="5">
        <f t="shared" si="0"/>
        <v>1200000</v>
      </c>
      <c r="F5" s="1">
        <f t="shared" si="1"/>
        <v>4686.5</v>
      </c>
      <c r="G5" s="1">
        <f t="shared" si="2"/>
        <v>2342.75</v>
      </c>
      <c r="H5" s="1">
        <f t="shared" si="3"/>
        <v>1170.875</v>
      </c>
      <c r="I5" s="7">
        <f t="shared" si="4"/>
        <v>584.9375</v>
      </c>
      <c r="J5" s="6">
        <f t="shared" si="5"/>
        <v>374</v>
      </c>
      <c r="K5" s="1">
        <f t="shared" si="6"/>
        <v>291.96875</v>
      </c>
      <c r="M5" s="6">
        <f t="shared" si="7"/>
        <v>145.484375</v>
      </c>
      <c r="N5" s="6">
        <f t="shared" si="8"/>
        <v>72.2421875</v>
      </c>
      <c r="O5" s="6"/>
      <c r="P5" s="6">
        <f t="shared" si="9"/>
        <v>5.12</v>
      </c>
      <c r="Q5" s="6">
        <f t="shared" si="10"/>
        <v>10.24</v>
      </c>
      <c r="R5" s="6">
        <f t="shared" si="11"/>
        <v>20.48</v>
      </c>
      <c r="S5" s="7">
        <f t="shared" si="12"/>
        <v>40.96</v>
      </c>
      <c r="T5" s="6">
        <f t="shared" si="13"/>
        <v>64</v>
      </c>
      <c r="U5" s="6">
        <f t="shared" si="14"/>
        <v>81.92</v>
      </c>
      <c r="V5" s="1">
        <f t="shared" si="17"/>
        <v>104</v>
      </c>
      <c r="W5" s="6">
        <f t="shared" si="15"/>
        <v>163.84</v>
      </c>
      <c r="X5" s="6">
        <f t="shared" si="16"/>
        <v>327.68</v>
      </c>
    </row>
    <row r="6" spans="1:32">
      <c r="A6" s="1">
        <v>5</v>
      </c>
      <c r="B6" s="2">
        <v>173</v>
      </c>
      <c r="C6" s="3">
        <v>20</v>
      </c>
      <c r="D6" s="4">
        <v>80</v>
      </c>
      <c r="E6" s="5">
        <f t="shared" si="0"/>
        <v>1600000</v>
      </c>
      <c r="F6" s="1">
        <f t="shared" si="1"/>
        <v>6249</v>
      </c>
      <c r="G6" s="1">
        <f t="shared" si="2"/>
        <v>3124</v>
      </c>
      <c r="H6" s="1">
        <f t="shared" si="3"/>
        <v>1561.5</v>
      </c>
      <c r="I6" s="7">
        <f t="shared" si="4"/>
        <v>780.25</v>
      </c>
      <c r="J6" s="6">
        <f t="shared" si="5"/>
        <v>499</v>
      </c>
      <c r="K6" s="1">
        <f t="shared" si="6"/>
        <v>389.625</v>
      </c>
      <c r="M6" s="6">
        <f t="shared" si="7"/>
        <v>194.3125</v>
      </c>
      <c r="N6" s="6">
        <f t="shared" si="8"/>
        <v>96.65625</v>
      </c>
      <c r="O6" s="6"/>
      <c r="P6" s="6">
        <f t="shared" si="9"/>
        <v>5.12</v>
      </c>
      <c r="Q6" s="6">
        <f t="shared" si="10"/>
        <v>10.24</v>
      </c>
      <c r="R6" s="6">
        <f t="shared" si="11"/>
        <v>20.48</v>
      </c>
      <c r="S6" s="7">
        <f t="shared" si="12"/>
        <v>40.96</v>
      </c>
      <c r="T6" s="6">
        <f t="shared" si="13"/>
        <v>64</v>
      </c>
      <c r="U6" s="6">
        <f t="shared" si="14"/>
        <v>81.92</v>
      </c>
      <c r="V6" s="1">
        <f t="shared" si="17"/>
        <v>104</v>
      </c>
      <c r="W6" s="6">
        <f t="shared" si="15"/>
        <v>163.84</v>
      </c>
      <c r="X6" s="6">
        <f t="shared" si="16"/>
        <v>327.68</v>
      </c>
    </row>
    <row r="7" spans="1:32">
      <c r="A7" s="1">
        <v>6</v>
      </c>
      <c r="B7" s="2">
        <v>153</v>
      </c>
      <c r="C7" s="3">
        <v>20</v>
      </c>
      <c r="D7" s="4">
        <v>100</v>
      </c>
      <c r="E7" s="5">
        <f t="shared" si="0"/>
        <v>2000000</v>
      </c>
      <c r="F7" s="1">
        <f t="shared" si="1"/>
        <v>7811.5</v>
      </c>
      <c r="G7" s="1">
        <f t="shared" si="2"/>
        <v>3905.25</v>
      </c>
      <c r="H7" s="1">
        <f t="shared" si="3"/>
        <v>1952.125</v>
      </c>
      <c r="I7" s="7">
        <f t="shared" si="4"/>
        <v>975.5625</v>
      </c>
      <c r="J7" s="6">
        <f t="shared" si="5"/>
        <v>624</v>
      </c>
      <c r="K7" s="1">
        <f t="shared" si="6"/>
        <v>487.28125</v>
      </c>
      <c r="M7" s="6">
        <f t="shared" si="7"/>
        <v>243.140625</v>
      </c>
      <c r="N7" s="6">
        <f t="shared" si="8"/>
        <v>121.0703125</v>
      </c>
      <c r="O7" s="6"/>
      <c r="P7" s="6">
        <f t="shared" si="9"/>
        <v>5.12</v>
      </c>
      <c r="Q7" s="6">
        <f t="shared" si="10"/>
        <v>10.24</v>
      </c>
      <c r="R7" s="6">
        <f t="shared" si="11"/>
        <v>20.48</v>
      </c>
      <c r="S7" s="7">
        <f t="shared" si="12"/>
        <v>40.96</v>
      </c>
      <c r="T7" s="6">
        <f t="shared" si="13"/>
        <v>64</v>
      </c>
      <c r="U7" s="6">
        <f t="shared" si="14"/>
        <v>81.92</v>
      </c>
      <c r="V7" s="1">
        <f t="shared" si="17"/>
        <v>104</v>
      </c>
      <c r="W7" s="6">
        <f t="shared" si="15"/>
        <v>163.84</v>
      </c>
      <c r="X7" s="6">
        <f t="shared" si="16"/>
        <v>327.68</v>
      </c>
    </row>
    <row r="8" spans="1:32">
      <c r="A8" s="1">
        <v>7</v>
      </c>
      <c r="B8" s="2">
        <v>167</v>
      </c>
      <c r="C8" s="3">
        <v>20</v>
      </c>
      <c r="D8" s="4">
        <v>150</v>
      </c>
      <c r="E8" s="5">
        <f t="shared" si="0"/>
        <v>3000000</v>
      </c>
      <c r="F8" s="1">
        <f t="shared" si="1"/>
        <v>11717.75</v>
      </c>
      <c r="G8" s="1">
        <f t="shared" si="2"/>
        <v>5858.375</v>
      </c>
      <c r="H8" s="1">
        <f t="shared" si="3"/>
        <v>2928.6875</v>
      </c>
      <c r="I8" s="7">
        <f t="shared" si="4"/>
        <v>1463.84375</v>
      </c>
      <c r="J8" s="6">
        <f t="shared" si="5"/>
        <v>936.5</v>
      </c>
      <c r="K8" s="1">
        <f t="shared" si="6"/>
        <v>731.421875</v>
      </c>
      <c r="M8" s="6">
        <f t="shared" si="7"/>
        <v>365.2109375</v>
      </c>
      <c r="N8" s="6">
        <f t="shared" si="8"/>
        <v>182.10546875</v>
      </c>
      <c r="O8" s="6"/>
      <c r="P8" s="6">
        <f t="shared" si="9"/>
        <v>5.12</v>
      </c>
      <c r="Q8" s="6">
        <f t="shared" si="10"/>
        <v>10.24</v>
      </c>
      <c r="R8" s="6">
        <f t="shared" si="11"/>
        <v>20.48</v>
      </c>
      <c r="S8" s="7">
        <f t="shared" si="12"/>
        <v>40.96</v>
      </c>
      <c r="T8" s="6">
        <f t="shared" si="13"/>
        <v>64</v>
      </c>
      <c r="U8" s="6">
        <f t="shared" si="14"/>
        <v>81.92</v>
      </c>
      <c r="V8" s="1">
        <f t="shared" si="17"/>
        <v>104</v>
      </c>
      <c r="W8" s="6">
        <f t="shared" si="15"/>
        <v>163.84</v>
      </c>
      <c r="X8" s="6">
        <f t="shared" si="16"/>
        <v>327.68</v>
      </c>
    </row>
    <row r="9" spans="1:32">
      <c r="A9" s="1">
        <v>8</v>
      </c>
      <c r="B9" s="2">
        <v>593</v>
      </c>
      <c r="C9" s="3">
        <v>30</v>
      </c>
      <c r="D9" s="4">
        <v>20</v>
      </c>
      <c r="E9" s="5">
        <f t="shared" si="0"/>
        <v>600000</v>
      </c>
      <c r="F9" s="1">
        <f t="shared" si="1"/>
        <v>2342.75</v>
      </c>
      <c r="G9" s="1">
        <f t="shared" si="2"/>
        <v>1170.875</v>
      </c>
      <c r="H9" s="1">
        <f t="shared" si="3"/>
        <v>584.9375</v>
      </c>
      <c r="I9" s="1">
        <f t="shared" si="4"/>
        <v>291.96875</v>
      </c>
      <c r="J9" s="7">
        <f t="shared" si="5"/>
        <v>186.5</v>
      </c>
      <c r="K9" s="6">
        <f t="shared" si="6"/>
        <v>145.484375</v>
      </c>
      <c r="L9" s="6"/>
      <c r="M9" s="6">
        <f t="shared" si="7"/>
        <v>72.2421875</v>
      </c>
      <c r="N9" s="6">
        <f t="shared" si="8"/>
        <v>35.62109375</v>
      </c>
      <c r="O9" s="6"/>
      <c r="P9" s="6">
        <f t="shared" si="9"/>
        <v>3.4133333333333336</v>
      </c>
      <c r="Q9" s="6">
        <f t="shared" si="10"/>
        <v>6.8266666666666671</v>
      </c>
      <c r="R9" s="6">
        <f t="shared" si="11"/>
        <v>13.653333333333334</v>
      </c>
      <c r="S9" s="6">
        <f t="shared" si="12"/>
        <v>27.306666666666668</v>
      </c>
      <c r="T9" s="7">
        <f t="shared" si="13"/>
        <v>42.666666666666664</v>
      </c>
      <c r="U9" s="6">
        <f t="shared" si="14"/>
        <v>54.613333333333337</v>
      </c>
      <c r="V9" s="1">
        <f t="shared" si="17"/>
        <v>69.333333333333329</v>
      </c>
      <c r="W9" s="6">
        <f t="shared" si="15"/>
        <v>109.22666666666667</v>
      </c>
      <c r="X9" s="6">
        <f t="shared" si="16"/>
        <v>218.45333333333335</v>
      </c>
    </row>
    <row r="10" spans="1:32">
      <c r="A10" s="1">
        <v>9</v>
      </c>
      <c r="B10" s="2">
        <v>190</v>
      </c>
      <c r="C10" s="3">
        <v>30</v>
      </c>
      <c r="D10" s="4">
        <v>40</v>
      </c>
      <c r="E10" s="5">
        <f t="shared" si="0"/>
        <v>1200000</v>
      </c>
      <c r="F10" s="1">
        <f t="shared" si="1"/>
        <v>4686.5</v>
      </c>
      <c r="G10" s="1">
        <f t="shared" si="2"/>
        <v>2342.75</v>
      </c>
      <c r="H10" s="1">
        <f t="shared" si="3"/>
        <v>1170.875</v>
      </c>
      <c r="I10" s="6">
        <f t="shared" si="4"/>
        <v>584.9375</v>
      </c>
      <c r="J10" s="7">
        <f t="shared" si="5"/>
        <v>374</v>
      </c>
      <c r="K10" s="1">
        <f t="shared" si="6"/>
        <v>291.96875</v>
      </c>
      <c r="M10" s="6">
        <f t="shared" si="7"/>
        <v>145.484375</v>
      </c>
      <c r="N10" s="6">
        <f t="shared" si="8"/>
        <v>72.2421875</v>
      </c>
      <c r="O10" s="6"/>
      <c r="P10" s="6">
        <f t="shared" si="9"/>
        <v>3.4133333333333336</v>
      </c>
      <c r="Q10" s="6">
        <f t="shared" si="10"/>
        <v>6.8266666666666671</v>
      </c>
      <c r="R10" s="6">
        <f t="shared" si="11"/>
        <v>13.653333333333334</v>
      </c>
      <c r="S10" s="6">
        <f t="shared" si="12"/>
        <v>27.306666666666668</v>
      </c>
      <c r="T10" s="7">
        <f t="shared" si="13"/>
        <v>42.666666666666664</v>
      </c>
      <c r="U10" s="6">
        <f t="shared" si="14"/>
        <v>54.613333333333337</v>
      </c>
      <c r="V10" s="1">
        <f t="shared" si="17"/>
        <v>69.333333333333329</v>
      </c>
      <c r="W10" s="6">
        <f t="shared" si="15"/>
        <v>109.22666666666667</v>
      </c>
      <c r="X10" s="6">
        <f t="shared" si="16"/>
        <v>218.45333333333335</v>
      </c>
    </row>
    <row r="11" spans="1:32">
      <c r="A11" s="1">
        <v>10</v>
      </c>
      <c r="B11" s="2">
        <v>191</v>
      </c>
      <c r="C11" s="3">
        <v>30</v>
      </c>
      <c r="D11" s="4">
        <v>60</v>
      </c>
      <c r="E11" s="5">
        <f t="shared" si="0"/>
        <v>1800000</v>
      </c>
      <c r="F11" s="1">
        <f t="shared" si="1"/>
        <v>7030.25</v>
      </c>
      <c r="G11" s="1">
        <f t="shared" si="2"/>
        <v>3514.625</v>
      </c>
      <c r="H11" s="1">
        <f t="shared" si="3"/>
        <v>1756.8125</v>
      </c>
      <c r="I11" s="1">
        <f t="shared" si="4"/>
        <v>877.90625</v>
      </c>
      <c r="J11" s="7">
        <f t="shared" si="5"/>
        <v>561.5</v>
      </c>
      <c r="K11" s="6">
        <f t="shared" si="6"/>
        <v>438.453125</v>
      </c>
      <c r="L11" s="6"/>
      <c r="M11" s="6">
        <f t="shared" si="7"/>
        <v>218.7265625</v>
      </c>
      <c r="N11" s="6">
        <f t="shared" si="8"/>
        <v>108.86328125</v>
      </c>
      <c r="O11" s="6"/>
      <c r="P11" s="6">
        <f t="shared" si="9"/>
        <v>3.4133333333333336</v>
      </c>
      <c r="Q11" s="6">
        <f t="shared" si="10"/>
        <v>6.8266666666666671</v>
      </c>
      <c r="R11" s="6">
        <f t="shared" si="11"/>
        <v>13.653333333333334</v>
      </c>
      <c r="S11" s="6">
        <f t="shared" si="12"/>
        <v>27.306666666666668</v>
      </c>
      <c r="T11" s="7">
        <f t="shared" si="13"/>
        <v>42.666666666666664</v>
      </c>
      <c r="U11" s="6">
        <f t="shared" si="14"/>
        <v>54.613333333333337</v>
      </c>
      <c r="V11" s="1">
        <f t="shared" si="17"/>
        <v>69.333333333333329</v>
      </c>
      <c r="W11" s="6">
        <f t="shared" si="15"/>
        <v>109.22666666666667</v>
      </c>
      <c r="X11" s="6">
        <f t="shared" si="16"/>
        <v>218.45333333333335</v>
      </c>
    </row>
    <row r="12" spans="1:32">
      <c r="A12" s="1">
        <v>11</v>
      </c>
      <c r="B12" s="2">
        <v>164</v>
      </c>
      <c r="C12" s="3">
        <v>30</v>
      </c>
      <c r="D12" s="4">
        <v>80</v>
      </c>
      <c r="E12" s="5">
        <f t="shared" si="0"/>
        <v>2400000</v>
      </c>
      <c r="F12" s="1">
        <f t="shared" si="1"/>
        <v>9374</v>
      </c>
      <c r="G12" s="1">
        <f t="shared" si="2"/>
        <v>4686.5</v>
      </c>
      <c r="H12" s="1">
        <f t="shared" si="3"/>
        <v>2342.75</v>
      </c>
      <c r="I12" s="6">
        <f t="shared" si="4"/>
        <v>1170.875</v>
      </c>
      <c r="J12" s="7">
        <f t="shared" si="5"/>
        <v>749</v>
      </c>
      <c r="K12" s="1">
        <f t="shared" si="6"/>
        <v>584.9375</v>
      </c>
      <c r="M12" s="6">
        <f t="shared" si="7"/>
        <v>291.96875</v>
      </c>
      <c r="N12" s="6">
        <f t="shared" si="8"/>
        <v>145.484375</v>
      </c>
      <c r="O12" s="6"/>
      <c r="P12" s="6">
        <f t="shared" si="9"/>
        <v>3.4133333333333336</v>
      </c>
      <c r="Q12" s="6">
        <f t="shared" si="10"/>
        <v>6.8266666666666671</v>
      </c>
      <c r="R12" s="6">
        <f t="shared" si="11"/>
        <v>13.653333333333334</v>
      </c>
      <c r="S12" s="6">
        <f t="shared" si="12"/>
        <v>27.306666666666668</v>
      </c>
      <c r="T12" s="7">
        <f t="shared" si="13"/>
        <v>42.666666666666664</v>
      </c>
      <c r="U12" s="6">
        <f t="shared" si="14"/>
        <v>54.613333333333337</v>
      </c>
      <c r="V12" s="1">
        <f t="shared" si="17"/>
        <v>69.333333333333329</v>
      </c>
      <c r="W12" s="6">
        <f t="shared" si="15"/>
        <v>109.22666666666667</v>
      </c>
      <c r="X12" s="6">
        <f t="shared" si="16"/>
        <v>218.45333333333335</v>
      </c>
    </row>
    <row r="13" spans="1:32">
      <c r="A13" s="1">
        <v>12</v>
      </c>
      <c r="B13" s="2">
        <v>153</v>
      </c>
      <c r="C13" s="3">
        <v>30</v>
      </c>
      <c r="D13" s="4">
        <v>100</v>
      </c>
      <c r="E13" s="5">
        <f t="shared" si="0"/>
        <v>3000000</v>
      </c>
      <c r="F13" s="1">
        <f t="shared" si="1"/>
        <v>11717.75</v>
      </c>
      <c r="G13" s="1">
        <f t="shared" si="2"/>
        <v>5858.375</v>
      </c>
      <c r="H13" s="1">
        <f t="shared" si="3"/>
        <v>2928.6875</v>
      </c>
      <c r="I13" s="1">
        <f t="shared" si="4"/>
        <v>1463.84375</v>
      </c>
      <c r="J13" s="7">
        <f t="shared" si="5"/>
        <v>936.5</v>
      </c>
      <c r="K13" s="1">
        <f t="shared" si="6"/>
        <v>731.421875</v>
      </c>
      <c r="M13" s="6">
        <f t="shared" si="7"/>
        <v>365.2109375</v>
      </c>
      <c r="N13" s="6">
        <f t="shared" si="8"/>
        <v>182.10546875</v>
      </c>
      <c r="O13" s="6"/>
      <c r="P13" s="6">
        <f t="shared" si="9"/>
        <v>3.4133333333333336</v>
      </c>
      <c r="Q13" s="6">
        <f t="shared" si="10"/>
        <v>6.8266666666666671</v>
      </c>
      <c r="R13" s="6">
        <f t="shared" si="11"/>
        <v>13.653333333333334</v>
      </c>
      <c r="S13" s="6">
        <f t="shared" si="12"/>
        <v>27.306666666666668</v>
      </c>
      <c r="T13" s="7">
        <f t="shared" si="13"/>
        <v>42.666666666666664</v>
      </c>
      <c r="U13" s="6">
        <f t="shared" si="14"/>
        <v>54.613333333333337</v>
      </c>
      <c r="V13" s="1">
        <f t="shared" si="17"/>
        <v>69.333333333333329</v>
      </c>
      <c r="W13" s="6">
        <f t="shared" si="15"/>
        <v>109.22666666666667</v>
      </c>
      <c r="X13" s="6">
        <f t="shared" si="16"/>
        <v>218.45333333333335</v>
      </c>
    </row>
    <row r="14" spans="1:32">
      <c r="A14" s="1">
        <v>13</v>
      </c>
      <c r="B14" s="2">
        <v>189</v>
      </c>
      <c r="C14" s="3">
        <v>30</v>
      </c>
      <c r="D14" s="4">
        <v>150</v>
      </c>
      <c r="E14" s="5">
        <f t="shared" si="0"/>
        <v>4500000</v>
      </c>
      <c r="F14" s="1">
        <f t="shared" si="1"/>
        <v>17577.125</v>
      </c>
      <c r="G14" s="1">
        <f t="shared" si="2"/>
        <v>8788.0625</v>
      </c>
      <c r="H14" s="1">
        <f t="shared" si="3"/>
        <v>4393.53125</v>
      </c>
      <c r="I14" s="1">
        <f t="shared" si="4"/>
        <v>2196.265625</v>
      </c>
      <c r="J14" s="7">
        <f t="shared" si="5"/>
        <v>1405.25</v>
      </c>
      <c r="K14" s="1">
        <f t="shared" si="6"/>
        <v>1097.6328125</v>
      </c>
      <c r="M14" s="6">
        <f t="shared" si="7"/>
        <v>548.31640625</v>
      </c>
      <c r="N14" s="6">
        <f t="shared" si="8"/>
        <v>273.658203125</v>
      </c>
      <c r="O14" s="6"/>
      <c r="P14" s="6">
        <f t="shared" si="9"/>
        <v>3.4133333333333336</v>
      </c>
      <c r="Q14" s="6">
        <f t="shared" si="10"/>
        <v>6.8266666666666671</v>
      </c>
      <c r="R14" s="6">
        <f t="shared" si="11"/>
        <v>13.653333333333334</v>
      </c>
      <c r="S14" s="6">
        <f t="shared" si="12"/>
        <v>27.306666666666668</v>
      </c>
      <c r="T14" s="7">
        <f t="shared" si="13"/>
        <v>42.666666666666664</v>
      </c>
      <c r="U14" s="6">
        <f t="shared" si="14"/>
        <v>54.613333333333337</v>
      </c>
      <c r="V14" s="1">
        <f t="shared" si="17"/>
        <v>69.333333333333329</v>
      </c>
      <c r="W14" s="6">
        <f t="shared" si="15"/>
        <v>109.22666666666667</v>
      </c>
      <c r="X14" s="6">
        <f t="shared" si="16"/>
        <v>218.45333333333335</v>
      </c>
    </row>
    <row r="15" spans="1:32">
      <c r="A15" s="1">
        <v>14</v>
      </c>
      <c r="B15" s="2">
        <v>264</v>
      </c>
      <c r="C15" s="3">
        <v>40</v>
      </c>
      <c r="D15" s="4">
        <v>20</v>
      </c>
      <c r="E15" s="5">
        <f t="shared" si="0"/>
        <v>800000</v>
      </c>
      <c r="F15" s="1">
        <f t="shared" si="1"/>
        <v>3124</v>
      </c>
      <c r="G15" s="1">
        <f t="shared" si="2"/>
        <v>1561.5</v>
      </c>
      <c r="H15" s="1">
        <f t="shared" si="3"/>
        <v>780.25</v>
      </c>
      <c r="I15" s="1">
        <f t="shared" si="4"/>
        <v>389.625</v>
      </c>
      <c r="J15" s="6">
        <f t="shared" si="5"/>
        <v>249</v>
      </c>
      <c r="K15" s="7">
        <f t="shared" si="6"/>
        <v>194.3125</v>
      </c>
      <c r="L15" s="6"/>
      <c r="M15" s="6">
        <f t="shared" si="7"/>
        <v>96.65625</v>
      </c>
      <c r="N15" s="6">
        <f t="shared" si="8"/>
        <v>47.828125</v>
      </c>
      <c r="O15" s="6"/>
      <c r="P15" s="6">
        <f t="shared" si="9"/>
        <v>2.56</v>
      </c>
      <c r="Q15" s="6">
        <f t="shared" si="10"/>
        <v>5.12</v>
      </c>
      <c r="R15" s="6">
        <f t="shared" si="11"/>
        <v>10.24</v>
      </c>
      <c r="S15" s="6">
        <f t="shared" si="12"/>
        <v>20.48</v>
      </c>
      <c r="T15" s="6">
        <f t="shared" si="13"/>
        <v>32</v>
      </c>
      <c r="U15" s="7">
        <f t="shared" si="14"/>
        <v>40.96</v>
      </c>
      <c r="V15" s="1">
        <f t="shared" si="17"/>
        <v>52</v>
      </c>
      <c r="W15" s="6">
        <f t="shared" si="15"/>
        <v>81.92</v>
      </c>
      <c r="X15" s="6">
        <f t="shared" si="16"/>
        <v>163.84</v>
      </c>
    </row>
    <row r="16" spans="1:32">
      <c r="A16" s="1">
        <v>15</v>
      </c>
      <c r="B16" s="2">
        <v>144</v>
      </c>
      <c r="C16" s="3">
        <v>40</v>
      </c>
      <c r="D16" s="4">
        <v>40</v>
      </c>
      <c r="E16" s="5">
        <f t="shared" si="0"/>
        <v>1600000</v>
      </c>
      <c r="F16" s="1">
        <f t="shared" si="1"/>
        <v>6249</v>
      </c>
      <c r="G16" s="1">
        <f t="shared" si="2"/>
        <v>3124</v>
      </c>
      <c r="H16" s="1">
        <f t="shared" si="3"/>
        <v>1561.5</v>
      </c>
      <c r="I16" s="1">
        <f t="shared" si="4"/>
        <v>780.25</v>
      </c>
      <c r="J16" s="6">
        <f t="shared" si="5"/>
        <v>499</v>
      </c>
      <c r="K16" s="7">
        <f t="shared" si="6"/>
        <v>389.625</v>
      </c>
      <c r="L16" s="6"/>
      <c r="M16" s="6">
        <f t="shared" si="7"/>
        <v>194.3125</v>
      </c>
      <c r="N16" s="6">
        <f t="shared" si="8"/>
        <v>96.65625</v>
      </c>
      <c r="O16" s="6"/>
      <c r="P16" s="6">
        <f t="shared" si="9"/>
        <v>2.56</v>
      </c>
      <c r="Q16" s="6">
        <f t="shared" si="10"/>
        <v>5.12</v>
      </c>
      <c r="R16" s="6">
        <f t="shared" si="11"/>
        <v>10.24</v>
      </c>
      <c r="S16" s="6">
        <f t="shared" si="12"/>
        <v>20.48</v>
      </c>
      <c r="T16" s="6">
        <f t="shared" si="13"/>
        <v>32</v>
      </c>
      <c r="U16" s="7">
        <f t="shared" si="14"/>
        <v>40.96</v>
      </c>
      <c r="V16" s="1">
        <f t="shared" si="17"/>
        <v>52</v>
      </c>
      <c r="W16" s="6">
        <f t="shared" si="15"/>
        <v>81.92</v>
      </c>
      <c r="X16" s="6">
        <f t="shared" si="16"/>
        <v>163.84</v>
      </c>
    </row>
    <row r="17" spans="1:24">
      <c r="A17" s="1">
        <v>16</v>
      </c>
      <c r="B17" s="2">
        <v>151</v>
      </c>
      <c r="C17" s="3">
        <v>40</v>
      </c>
      <c r="D17" s="4">
        <v>60</v>
      </c>
      <c r="E17" s="5">
        <f t="shared" si="0"/>
        <v>2400000</v>
      </c>
      <c r="F17" s="1">
        <f t="shared" si="1"/>
        <v>9374</v>
      </c>
      <c r="G17" s="1">
        <f t="shared" si="2"/>
        <v>4686.5</v>
      </c>
      <c r="H17" s="1">
        <f t="shared" si="3"/>
        <v>2342.75</v>
      </c>
      <c r="I17" s="1">
        <f t="shared" si="4"/>
        <v>1170.875</v>
      </c>
      <c r="J17" s="6">
        <f t="shared" si="5"/>
        <v>749</v>
      </c>
      <c r="K17" s="7">
        <f t="shared" si="6"/>
        <v>584.9375</v>
      </c>
      <c r="L17" s="6"/>
      <c r="M17" s="6">
        <f t="shared" si="7"/>
        <v>291.96875</v>
      </c>
      <c r="N17" s="6">
        <f t="shared" si="8"/>
        <v>145.484375</v>
      </c>
      <c r="O17" s="6"/>
      <c r="P17" s="6">
        <f t="shared" si="9"/>
        <v>2.56</v>
      </c>
      <c r="Q17" s="6">
        <f t="shared" si="10"/>
        <v>5.12</v>
      </c>
      <c r="R17" s="6">
        <f t="shared" si="11"/>
        <v>10.24</v>
      </c>
      <c r="S17" s="6">
        <f t="shared" si="12"/>
        <v>20.48</v>
      </c>
      <c r="T17" s="6">
        <f t="shared" si="13"/>
        <v>32</v>
      </c>
      <c r="U17" s="7">
        <f t="shared" si="14"/>
        <v>40.96</v>
      </c>
      <c r="V17" s="1">
        <f t="shared" si="17"/>
        <v>52</v>
      </c>
      <c r="W17" s="6">
        <f t="shared" si="15"/>
        <v>81.92</v>
      </c>
      <c r="X17" s="6">
        <f t="shared" si="16"/>
        <v>163.84</v>
      </c>
    </row>
    <row r="18" spans="1:24">
      <c r="A18" s="1">
        <v>17</v>
      </c>
      <c r="B18" s="2">
        <v>171</v>
      </c>
      <c r="C18" s="3">
        <v>40</v>
      </c>
      <c r="D18" s="4">
        <v>80</v>
      </c>
      <c r="E18" s="5">
        <f t="shared" si="0"/>
        <v>3200000</v>
      </c>
      <c r="F18" s="1">
        <f t="shared" si="1"/>
        <v>12499</v>
      </c>
      <c r="G18" s="1">
        <f t="shared" si="2"/>
        <v>6249</v>
      </c>
      <c r="H18" s="1">
        <f t="shared" si="3"/>
        <v>3124</v>
      </c>
      <c r="I18" s="1">
        <f t="shared" si="4"/>
        <v>1561.5</v>
      </c>
      <c r="J18" s="6">
        <f t="shared" si="5"/>
        <v>999</v>
      </c>
      <c r="K18" s="7">
        <f t="shared" si="6"/>
        <v>780.25</v>
      </c>
      <c r="L18" s="6"/>
      <c r="M18" s="6">
        <f t="shared" si="7"/>
        <v>389.625</v>
      </c>
      <c r="N18" s="6">
        <f t="shared" si="8"/>
        <v>194.3125</v>
      </c>
      <c r="O18" s="6"/>
      <c r="P18" s="6">
        <f t="shared" si="9"/>
        <v>2.56</v>
      </c>
      <c r="Q18" s="6">
        <f t="shared" si="10"/>
        <v>5.12</v>
      </c>
      <c r="R18" s="6">
        <f t="shared" si="11"/>
        <v>10.24</v>
      </c>
      <c r="S18" s="6">
        <f t="shared" si="12"/>
        <v>20.48</v>
      </c>
      <c r="T18" s="6">
        <f t="shared" si="13"/>
        <v>32</v>
      </c>
      <c r="U18" s="7">
        <f t="shared" si="14"/>
        <v>40.96</v>
      </c>
      <c r="V18" s="1">
        <f t="shared" si="17"/>
        <v>52</v>
      </c>
      <c r="W18" s="6">
        <f t="shared" si="15"/>
        <v>81.92</v>
      </c>
      <c r="X18" s="6">
        <f t="shared" si="16"/>
        <v>163.84</v>
      </c>
    </row>
    <row r="19" spans="1:24">
      <c r="A19" s="1">
        <v>18</v>
      </c>
      <c r="B19" s="2">
        <v>173</v>
      </c>
      <c r="C19" s="3">
        <v>40</v>
      </c>
      <c r="D19" s="4">
        <v>100</v>
      </c>
      <c r="E19" s="5">
        <f t="shared" si="0"/>
        <v>4000000</v>
      </c>
      <c r="F19" s="1">
        <f t="shared" si="1"/>
        <v>15624</v>
      </c>
      <c r="G19" s="1">
        <f t="shared" si="2"/>
        <v>7811.5</v>
      </c>
      <c r="H19" s="1">
        <f t="shared" si="3"/>
        <v>3905.25</v>
      </c>
      <c r="I19" s="1">
        <f t="shared" si="4"/>
        <v>1952.125</v>
      </c>
      <c r="J19" s="6">
        <f t="shared" si="5"/>
        <v>1249</v>
      </c>
      <c r="K19" s="7">
        <f t="shared" si="6"/>
        <v>975.5625</v>
      </c>
      <c r="L19" s="6"/>
      <c r="M19" s="6">
        <f t="shared" si="7"/>
        <v>487.28125</v>
      </c>
      <c r="N19" s="6">
        <f t="shared" si="8"/>
        <v>243.140625</v>
      </c>
      <c r="O19" s="6"/>
      <c r="P19" s="6">
        <f t="shared" si="9"/>
        <v>2.56</v>
      </c>
      <c r="Q19" s="6">
        <f t="shared" si="10"/>
        <v>5.12</v>
      </c>
      <c r="R19" s="6">
        <f t="shared" si="11"/>
        <v>10.24</v>
      </c>
      <c r="S19" s="6">
        <f t="shared" si="12"/>
        <v>20.48</v>
      </c>
      <c r="T19" s="6">
        <f t="shared" si="13"/>
        <v>32</v>
      </c>
      <c r="U19" s="7">
        <f t="shared" si="14"/>
        <v>40.96</v>
      </c>
      <c r="V19" s="1">
        <f t="shared" si="17"/>
        <v>52</v>
      </c>
      <c r="W19" s="6">
        <f t="shared" si="15"/>
        <v>81.92</v>
      </c>
      <c r="X19" s="6">
        <f t="shared" si="16"/>
        <v>163.84</v>
      </c>
    </row>
    <row r="20" spans="1:24">
      <c r="A20" s="1">
        <v>19</v>
      </c>
      <c r="B20" s="2">
        <v>152</v>
      </c>
      <c r="C20" s="3">
        <v>40</v>
      </c>
      <c r="D20" s="4">
        <v>150</v>
      </c>
      <c r="E20" s="5">
        <f t="shared" si="0"/>
        <v>6000000</v>
      </c>
      <c r="F20" s="1">
        <f t="shared" si="1"/>
        <v>23436.5</v>
      </c>
      <c r="G20" s="1">
        <f t="shared" si="2"/>
        <v>11717.75</v>
      </c>
      <c r="H20" s="1">
        <f t="shared" si="3"/>
        <v>5858.375</v>
      </c>
      <c r="I20" s="1">
        <f t="shared" si="4"/>
        <v>2928.6875</v>
      </c>
      <c r="J20" s="6">
        <f t="shared" si="5"/>
        <v>1874</v>
      </c>
      <c r="K20" s="7">
        <f t="shared" si="6"/>
        <v>1463.84375</v>
      </c>
      <c r="L20" s="6"/>
      <c r="M20" s="6">
        <f t="shared" si="7"/>
        <v>731.421875</v>
      </c>
      <c r="N20" s="6">
        <f t="shared" si="8"/>
        <v>365.2109375</v>
      </c>
      <c r="O20" s="6"/>
      <c r="P20" s="6">
        <f t="shared" si="9"/>
        <v>2.56</v>
      </c>
      <c r="Q20" s="6">
        <f t="shared" si="10"/>
        <v>5.12</v>
      </c>
      <c r="R20" s="6">
        <f t="shared" si="11"/>
        <v>10.24</v>
      </c>
      <c r="S20" s="6">
        <f t="shared" si="12"/>
        <v>20.48</v>
      </c>
      <c r="T20" s="6">
        <f t="shared" si="13"/>
        <v>32</v>
      </c>
      <c r="U20" s="7">
        <f t="shared" si="14"/>
        <v>40.96</v>
      </c>
      <c r="V20" s="1">
        <f t="shared" si="17"/>
        <v>52</v>
      </c>
      <c r="W20" s="6">
        <f t="shared" si="15"/>
        <v>81.92</v>
      </c>
      <c r="X20" s="6">
        <f t="shared" si="16"/>
        <v>163.84</v>
      </c>
    </row>
    <row r="21" spans="1:24">
      <c r="A21" s="1">
        <v>20</v>
      </c>
      <c r="B21" s="2">
        <v>345</v>
      </c>
      <c r="C21" s="3">
        <v>50</v>
      </c>
      <c r="D21" s="4">
        <v>20</v>
      </c>
      <c r="E21" s="5">
        <f t="shared" si="0"/>
        <v>1000000</v>
      </c>
      <c r="F21" s="1">
        <f t="shared" si="1"/>
        <v>3905.25</v>
      </c>
      <c r="G21" s="1">
        <f t="shared" si="2"/>
        <v>1952.125</v>
      </c>
      <c r="H21" s="1">
        <f t="shared" si="3"/>
        <v>975.5625</v>
      </c>
      <c r="I21" s="1">
        <f t="shared" si="4"/>
        <v>487.28125</v>
      </c>
      <c r="J21" s="6">
        <f t="shared" si="5"/>
        <v>311.5</v>
      </c>
      <c r="K21" s="1">
        <f t="shared" si="6"/>
        <v>243.140625</v>
      </c>
      <c r="L21" s="7">
        <f>1+(E21-$L$1)/((1-0.5)*$L$1)</f>
        <v>191.30769230769232</v>
      </c>
      <c r="M21" s="6">
        <f t="shared" si="7"/>
        <v>121.0703125</v>
      </c>
      <c r="N21" s="6">
        <f t="shared" si="8"/>
        <v>60.03515625</v>
      </c>
      <c r="O21" s="6"/>
      <c r="P21" s="6">
        <f t="shared" si="9"/>
        <v>2.048</v>
      </c>
      <c r="Q21" s="6">
        <f t="shared" si="10"/>
        <v>4.0960000000000001</v>
      </c>
      <c r="R21" s="6">
        <f t="shared" si="11"/>
        <v>8.1920000000000002</v>
      </c>
      <c r="S21" s="6">
        <f t="shared" si="12"/>
        <v>16.384</v>
      </c>
      <c r="T21" s="6">
        <f t="shared" si="13"/>
        <v>25.6</v>
      </c>
      <c r="U21" s="6">
        <f t="shared" si="14"/>
        <v>32.768000000000001</v>
      </c>
      <c r="V21" s="7">
        <f t="shared" si="17"/>
        <v>41.6</v>
      </c>
      <c r="W21" s="6">
        <f t="shared" si="15"/>
        <v>65.536000000000001</v>
      </c>
      <c r="X21" s="6">
        <f t="shared" si="16"/>
        <v>131.072</v>
      </c>
    </row>
    <row r="22" spans="1:24">
      <c r="A22" s="1">
        <v>21</v>
      </c>
      <c r="B22" s="2">
        <v>162</v>
      </c>
      <c r="C22" s="3">
        <v>50</v>
      </c>
      <c r="D22" s="4">
        <v>40</v>
      </c>
      <c r="E22" s="5">
        <f t="shared" si="0"/>
        <v>2000000</v>
      </c>
      <c r="F22" s="1">
        <f t="shared" si="1"/>
        <v>7811.5</v>
      </c>
      <c r="G22" s="1">
        <f t="shared" si="2"/>
        <v>3905.25</v>
      </c>
      <c r="H22" s="1">
        <f t="shared" si="3"/>
        <v>1952.125</v>
      </c>
      <c r="I22" s="1">
        <f t="shared" si="4"/>
        <v>975.5625</v>
      </c>
      <c r="J22" s="6">
        <f t="shared" si="5"/>
        <v>624</v>
      </c>
      <c r="K22" s="1">
        <f t="shared" si="6"/>
        <v>487.28125</v>
      </c>
      <c r="L22" s="7">
        <f t="shared" ref="L22:L26" si="18">1+(E22-$L$1)/((1-0.5)*$L$1)</f>
        <v>383.61538461538464</v>
      </c>
      <c r="M22" s="6">
        <f t="shared" si="7"/>
        <v>243.140625</v>
      </c>
      <c r="N22" s="6">
        <f t="shared" si="8"/>
        <v>121.0703125</v>
      </c>
      <c r="O22" s="6"/>
      <c r="P22" s="6">
        <f t="shared" si="9"/>
        <v>2.048</v>
      </c>
      <c r="Q22" s="6">
        <f t="shared" si="10"/>
        <v>4.0960000000000001</v>
      </c>
      <c r="R22" s="6">
        <f t="shared" si="11"/>
        <v>8.1920000000000002</v>
      </c>
      <c r="S22" s="6">
        <f t="shared" si="12"/>
        <v>16.384</v>
      </c>
      <c r="T22" s="6">
        <f t="shared" si="13"/>
        <v>25.6</v>
      </c>
      <c r="U22" s="6">
        <f t="shared" si="14"/>
        <v>32.768000000000001</v>
      </c>
      <c r="V22" s="7">
        <f t="shared" si="17"/>
        <v>41.6</v>
      </c>
      <c r="W22" s="6">
        <f t="shared" si="15"/>
        <v>65.536000000000001</v>
      </c>
      <c r="X22" s="6">
        <f t="shared" si="16"/>
        <v>131.072</v>
      </c>
    </row>
    <row r="23" spans="1:24">
      <c r="A23" s="1">
        <v>22</v>
      </c>
      <c r="B23" s="2">
        <v>158</v>
      </c>
      <c r="C23" s="3">
        <v>50</v>
      </c>
      <c r="D23" s="4">
        <v>60</v>
      </c>
      <c r="E23" s="5">
        <f t="shared" si="0"/>
        <v>3000000</v>
      </c>
      <c r="F23" s="1">
        <f t="shared" si="1"/>
        <v>11717.75</v>
      </c>
      <c r="G23" s="1">
        <f t="shared" si="2"/>
        <v>5858.375</v>
      </c>
      <c r="H23" s="1">
        <f t="shared" si="3"/>
        <v>2928.6875</v>
      </c>
      <c r="I23" s="1">
        <f t="shared" si="4"/>
        <v>1463.84375</v>
      </c>
      <c r="J23" s="6">
        <f t="shared" si="5"/>
        <v>936.5</v>
      </c>
      <c r="K23" s="6">
        <f t="shared" si="6"/>
        <v>731.421875</v>
      </c>
      <c r="L23" s="7">
        <f t="shared" si="18"/>
        <v>575.92307692307691</v>
      </c>
      <c r="M23" s="6">
        <f t="shared" si="7"/>
        <v>365.2109375</v>
      </c>
      <c r="N23" s="6">
        <f t="shared" si="8"/>
        <v>182.10546875</v>
      </c>
      <c r="O23" s="6"/>
      <c r="P23" s="6">
        <f t="shared" si="9"/>
        <v>2.048</v>
      </c>
      <c r="Q23" s="6">
        <f t="shared" si="10"/>
        <v>4.0960000000000001</v>
      </c>
      <c r="R23" s="6">
        <f t="shared" si="11"/>
        <v>8.1920000000000002</v>
      </c>
      <c r="S23" s="6">
        <f t="shared" si="12"/>
        <v>16.384</v>
      </c>
      <c r="T23" s="6">
        <f t="shared" si="13"/>
        <v>25.6</v>
      </c>
      <c r="U23" s="6">
        <f t="shared" si="14"/>
        <v>32.768000000000001</v>
      </c>
      <c r="V23" s="7">
        <f t="shared" si="17"/>
        <v>41.6</v>
      </c>
      <c r="W23" s="6">
        <f t="shared" si="15"/>
        <v>65.536000000000001</v>
      </c>
      <c r="X23" s="6">
        <f t="shared" si="16"/>
        <v>131.072</v>
      </c>
    </row>
    <row r="24" spans="1:24">
      <c r="A24" s="1">
        <v>23</v>
      </c>
      <c r="B24" s="2">
        <v>155</v>
      </c>
      <c r="C24" s="3">
        <v>50</v>
      </c>
      <c r="D24" s="4">
        <v>80</v>
      </c>
      <c r="E24" s="5">
        <f t="shared" si="0"/>
        <v>4000000</v>
      </c>
      <c r="F24" s="1">
        <f t="shared" si="1"/>
        <v>15624</v>
      </c>
      <c r="G24" s="1">
        <f t="shared" si="2"/>
        <v>7811.5</v>
      </c>
      <c r="H24" s="1">
        <f t="shared" si="3"/>
        <v>3905.25</v>
      </c>
      <c r="I24" s="1">
        <f t="shared" si="4"/>
        <v>1952.125</v>
      </c>
      <c r="J24" s="6">
        <f t="shared" si="5"/>
        <v>1249</v>
      </c>
      <c r="K24" s="6">
        <f t="shared" si="6"/>
        <v>975.5625</v>
      </c>
      <c r="L24" s="7">
        <f t="shared" si="18"/>
        <v>768.23076923076928</v>
      </c>
      <c r="M24" s="6">
        <f t="shared" si="7"/>
        <v>487.28125</v>
      </c>
      <c r="N24" s="6">
        <f t="shared" si="8"/>
        <v>243.140625</v>
      </c>
      <c r="O24" s="6"/>
      <c r="P24" s="6">
        <f t="shared" si="9"/>
        <v>2.048</v>
      </c>
      <c r="Q24" s="6">
        <f t="shared" si="10"/>
        <v>4.0960000000000001</v>
      </c>
      <c r="R24" s="6">
        <f t="shared" si="11"/>
        <v>8.1920000000000002</v>
      </c>
      <c r="S24" s="6">
        <f t="shared" si="12"/>
        <v>16.384</v>
      </c>
      <c r="T24" s="6">
        <f t="shared" si="13"/>
        <v>25.6</v>
      </c>
      <c r="U24" s="6">
        <f t="shared" si="14"/>
        <v>32.768000000000001</v>
      </c>
      <c r="V24" s="7">
        <f t="shared" si="17"/>
        <v>41.6</v>
      </c>
      <c r="W24" s="6">
        <f t="shared" si="15"/>
        <v>65.536000000000001</v>
      </c>
      <c r="X24" s="6">
        <f t="shared" si="16"/>
        <v>131.072</v>
      </c>
    </row>
    <row r="25" spans="1:24">
      <c r="A25" s="1">
        <v>24</v>
      </c>
      <c r="B25" s="2">
        <v>171</v>
      </c>
      <c r="C25" s="3">
        <v>50</v>
      </c>
      <c r="D25" s="4">
        <v>100</v>
      </c>
      <c r="E25" s="5">
        <f t="shared" si="0"/>
        <v>5000000</v>
      </c>
      <c r="F25" s="1">
        <f t="shared" si="1"/>
        <v>19530.25</v>
      </c>
      <c r="G25" s="1">
        <f t="shared" si="2"/>
        <v>9764.625</v>
      </c>
      <c r="H25" s="1">
        <f t="shared" si="3"/>
        <v>4881.8125</v>
      </c>
      <c r="I25" s="1">
        <f t="shared" si="4"/>
        <v>2440.40625</v>
      </c>
      <c r="J25" s="6">
        <f t="shared" si="5"/>
        <v>1561.5</v>
      </c>
      <c r="K25" s="1">
        <f t="shared" si="6"/>
        <v>1219.703125</v>
      </c>
      <c r="L25" s="7">
        <f t="shared" si="18"/>
        <v>960.53846153846155</v>
      </c>
      <c r="M25" s="6">
        <f t="shared" si="7"/>
        <v>609.3515625</v>
      </c>
      <c r="N25" s="6">
        <f t="shared" si="8"/>
        <v>304.17578125</v>
      </c>
      <c r="O25" s="6"/>
      <c r="P25" s="6">
        <f t="shared" si="9"/>
        <v>2.048</v>
      </c>
      <c r="Q25" s="6">
        <f t="shared" si="10"/>
        <v>4.0960000000000001</v>
      </c>
      <c r="R25" s="6">
        <f t="shared" si="11"/>
        <v>8.1920000000000002</v>
      </c>
      <c r="S25" s="6">
        <f t="shared" si="12"/>
        <v>16.384</v>
      </c>
      <c r="T25" s="6">
        <f t="shared" si="13"/>
        <v>25.6</v>
      </c>
      <c r="U25" s="6">
        <f t="shared" si="14"/>
        <v>32.768000000000001</v>
      </c>
      <c r="V25" s="7">
        <f t="shared" si="17"/>
        <v>41.6</v>
      </c>
      <c r="W25" s="6">
        <f t="shared" si="15"/>
        <v>65.536000000000001</v>
      </c>
      <c r="X25" s="6">
        <f t="shared" si="16"/>
        <v>131.072</v>
      </c>
    </row>
    <row r="26" spans="1:24">
      <c r="A26" s="1">
        <v>25</v>
      </c>
      <c r="B26" s="2">
        <v>191</v>
      </c>
      <c r="C26" s="3">
        <v>50</v>
      </c>
      <c r="D26" s="4">
        <v>150</v>
      </c>
      <c r="E26" s="5">
        <f t="shared" si="0"/>
        <v>7500000</v>
      </c>
      <c r="F26" s="1">
        <f t="shared" si="1"/>
        <v>29295.875</v>
      </c>
      <c r="G26" s="1">
        <f t="shared" si="2"/>
        <v>14647.4375</v>
      </c>
      <c r="H26" s="1">
        <f t="shared" si="3"/>
        <v>7323.21875</v>
      </c>
      <c r="I26" s="1">
        <f t="shared" si="4"/>
        <v>3661.109375</v>
      </c>
      <c r="J26" s="6">
        <f t="shared" si="5"/>
        <v>2342.75</v>
      </c>
      <c r="K26" s="1">
        <f t="shared" si="6"/>
        <v>1830.0546875</v>
      </c>
      <c r="L26" s="7">
        <f t="shared" si="18"/>
        <v>1441.3076923076924</v>
      </c>
      <c r="M26" s="6">
        <f t="shared" si="7"/>
        <v>914.52734375</v>
      </c>
      <c r="N26" s="6">
        <f t="shared" si="8"/>
        <v>456.763671875</v>
      </c>
      <c r="O26" s="6"/>
      <c r="P26" s="6">
        <f t="shared" si="9"/>
        <v>2.048</v>
      </c>
      <c r="Q26" s="6">
        <f t="shared" si="10"/>
        <v>4.0960000000000001</v>
      </c>
      <c r="R26" s="6">
        <f t="shared" si="11"/>
        <v>8.1920000000000002</v>
      </c>
      <c r="S26" s="6">
        <f t="shared" si="12"/>
        <v>16.384</v>
      </c>
      <c r="T26" s="6">
        <f t="shared" si="13"/>
        <v>25.6</v>
      </c>
      <c r="U26" s="6">
        <f t="shared" si="14"/>
        <v>32.768000000000001</v>
      </c>
      <c r="V26" s="7">
        <f t="shared" si="17"/>
        <v>41.6</v>
      </c>
      <c r="W26" s="6">
        <f t="shared" si="15"/>
        <v>65.536000000000001</v>
      </c>
      <c r="X26" s="6">
        <f t="shared" si="16"/>
        <v>131.072</v>
      </c>
    </row>
    <row r="27" spans="1:24">
      <c r="A27" s="1">
        <v>26</v>
      </c>
      <c r="B27" s="2">
        <v>162</v>
      </c>
      <c r="C27" s="3">
        <v>80</v>
      </c>
      <c r="D27" s="4">
        <v>20</v>
      </c>
      <c r="E27" s="5">
        <f t="shared" si="0"/>
        <v>1600000</v>
      </c>
      <c r="F27" s="1">
        <f t="shared" si="1"/>
        <v>6249</v>
      </c>
      <c r="G27" s="1">
        <f t="shared" si="2"/>
        <v>3124</v>
      </c>
      <c r="H27" s="1">
        <f t="shared" si="3"/>
        <v>1561.5</v>
      </c>
      <c r="I27" s="1">
        <f t="shared" si="4"/>
        <v>780.25</v>
      </c>
      <c r="J27" s="6">
        <f t="shared" si="5"/>
        <v>499</v>
      </c>
      <c r="K27" s="1">
        <f t="shared" si="6"/>
        <v>389.625</v>
      </c>
      <c r="M27" s="7">
        <f t="shared" si="7"/>
        <v>194.3125</v>
      </c>
      <c r="N27" s="6">
        <f t="shared" si="8"/>
        <v>96.65625</v>
      </c>
      <c r="O27" s="6"/>
      <c r="P27" s="6">
        <f t="shared" si="9"/>
        <v>1.28</v>
      </c>
      <c r="Q27" s="6">
        <f t="shared" si="10"/>
        <v>2.56</v>
      </c>
      <c r="R27" s="6">
        <f t="shared" si="11"/>
        <v>5.12</v>
      </c>
      <c r="S27" s="6">
        <f t="shared" si="12"/>
        <v>10.24</v>
      </c>
      <c r="T27" s="6">
        <f t="shared" si="13"/>
        <v>16</v>
      </c>
      <c r="U27" s="6">
        <f t="shared" si="14"/>
        <v>20.48</v>
      </c>
      <c r="V27" s="1">
        <f t="shared" si="17"/>
        <v>26</v>
      </c>
      <c r="W27" s="7">
        <f t="shared" si="15"/>
        <v>40.96</v>
      </c>
      <c r="X27" s="6">
        <f t="shared" si="16"/>
        <v>81.92</v>
      </c>
    </row>
    <row r="28" spans="1:24">
      <c r="A28" s="1">
        <v>27</v>
      </c>
      <c r="B28" s="2">
        <v>173</v>
      </c>
      <c r="C28" s="3">
        <v>80</v>
      </c>
      <c r="D28" s="4">
        <v>40</v>
      </c>
      <c r="E28" s="5">
        <f t="shared" si="0"/>
        <v>3200000</v>
      </c>
      <c r="F28" s="1">
        <f t="shared" si="1"/>
        <v>12499</v>
      </c>
      <c r="G28" s="1">
        <f t="shared" si="2"/>
        <v>6249</v>
      </c>
      <c r="H28" s="1">
        <f t="shared" si="3"/>
        <v>3124</v>
      </c>
      <c r="I28" s="1">
        <f t="shared" si="4"/>
        <v>1561.5</v>
      </c>
      <c r="J28" s="6">
        <f t="shared" si="5"/>
        <v>999</v>
      </c>
      <c r="K28" s="1">
        <f t="shared" si="6"/>
        <v>780.25</v>
      </c>
      <c r="M28" s="7">
        <f t="shared" si="7"/>
        <v>389.625</v>
      </c>
      <c r="N28" s="6">
        <f t="shared" si="8"/>
        <v>194.3125</v>
      </c>
      <c r="O28" s="6"/>
      <c r="P28" s="6">
        <f t="shared" si="9"/>
        <v>1.28</v>
      </c>
      <c r="Q28" s="6">
        <f t="shared" si="10"/>
        <v>2.56</v>
      </c>
      <c r="R28" s="6">
        <f t="shared" si="11"/>
        <v>5.12</v>
      </c>
      <c r="S28" s="6">
        <f t="shared" si="12"/>
        <v>10.24</v>
      </c>
      <c r="T28" s="6">
        <f t="shared" si="13"/>
        <v>16</v>
      </c>
      <c r="U28" s="6">
        <f t="shared" si="14"/>
        <v>20.48</v>
      </c>
      <c r="V28" s="1">
        <f t="shared" si="17"/>
        <v>26</v>
      </c>
      <c r="W28" s="7">
        <f t="shared" si="15"/>
        <v>40.96</v>
      </c>
      <c r="X28" s="6">
        <f t="shared" si="16"/>
        <v>81.92</v>
      </c>
    </row>
    <row r="29" spans="1:24">
      <c r="A29" s="1">
        <v>28</v>
      </c>
      <c r="B29" s="2">
        <v>150</v>
      </c>
      <c r="C29" s="3">
        <v>80</v>
      </c>
      <c r="D29" s="4">
        <v>60</v>
      </c>
      <c r="E29" s="5">
        <f t="shared" si="0"/>
        <v>4800000</v>
      </c>
      <c r="F29" s="1">
        <f t="shared" si="1"/>
        <v>18749</v>
      </c>
      <c r="G29" s="1">
        <f t="shared" si="2"/>
        <v>9374</v>
      </c>
      <c r="H29" s="1">
        <f t="shared" si="3"/>
        <v>4686.5</v>
      </c>
      <c r="I29" s="1">
        <f t="shared" si="4"/>
        <v>2342.75</v>
      </c>
      <c r="J29" s="6">
        <f t="shared" si="5"/>
        <v>1499</v>
      </c>
      <c r="K29" s="1">
        <f t="shared" si="6"/>
        <v>1170.875</v>
      </c>
      <c r="M29" s="7">
        <f t="shared" si="7"/>
        <v>584.9375</v>
      </c>
      <c r="N29" s="6">
        <f t="shared" si="8"/>
        <v>291.96875</v>
      </c>
      <c r="O29" s="6"/>
      <c r="P29" s="6">
        <f t="shared" si="9"/>
        <v>1.28</v>
      </c>
      <c r="Q29" s="6">
        <f t="shared" si="10"/>
        <v>2.56</v>
      </c>
      <c r="R29" s="6">
        <f t="shared" si="11"/>
        <v>5.12</v>
      </c>
      <c r="S29" s="6">
        <f t="shared" si="12"/>
        <v>10.24</v>
      </c>
      <c r="T29" s="6">
        <f t="shared" si="13"/>
        <v>16</v>
      </c>
      <c r="U29" s="6">
        <f t="shared" si="14"/>
        <v>20.48</v>
      </c>
      <c r="V29" s="1">
        <f t="shared" si="17"/>
        <v>26</v>
      </c>
      <c r="W29" s="7">
        <f t="shared" si="15"/>
        <v>40.96</v>
      </c>
      <c r="X29" s="6">
        <f t="shared" si="16"/>
        <v>81.92</v>
      </c>
    </row>
    <row r="30" spans="1:24">
      <c r="A30" s="1">
        <v>29</v>
      </c>
      <c r="B30" s="2">
        <v>168</v>
      </c>
      <c r="C30" s="3">
        <v>80</v>
      </c>
      <c r="D30" s="4">
        <v>80</v>
      </c>
      <c r="E30" s="5">
        <f t="shared" si="0"/>
        <v>6400000</v>
      </c>
      <c r="F30" s="1">
        <f t="shared" si="1"/>
        <v>24999</v>
      </c>
      <c r="G30" s="1">
        <f t="shared" si="2"/>
        <v>12499</v>
      </c>
      <c r="H30" s="1">
        <f t="shared" si="3"/>
        <v>6249</v>
      </c>
      <c r="I30" s="1">
        <f t="shared" si="4"/>
        <v>3124</v>
      </c>
      <c r="J30" s="6">
        <f t="shared" si="5"/>
        <v>1999</v>
      </c>
      <c r="K30" s="1">
        <f t="shared" si="6"/>
        <v>1561.5</v>
      </c>
      <c r="M30" s="7">
        <f t="shared" si="7"/>
        <v>780.25</v>
      </c>
      <c r="N30" s="6">
        <f t="shared" si="8"/>
        <v>389.625</v>
      </c>
      <c r="O30" s="6"/>
      <c r="P30" s="6">
        <f t="shared" si="9"/>
        <v>1.28</v>
      </c>
      <c r="Q30" s="6">
        <f t="shared" si="10"/>
        <v>2.56</v>
      </c>
      <c r="R30" s="6">
        <f t="shared" si="11"/>
        <v>5.12</v>
      </c>
      <c r="S30" s="6">
        <f t="shared" si="12"/>
        <v>10.24</v>
      </c>
      <c r="T30" s="6">
        <f t="shared" si="13"/>
        <v>16</v>
      </c>
      <c r="U30" s="6">
        <f t="shared" si="14"/>
        <v>20.48</v>
      </c>
      <c r="V30" s="1">
        <f t="shared" si="17"/>
        <v>26</v>
      </c>
      <c r="W30" s="7">
        <f t="shared" si="15"/>
        <v>40.96</v>
      </c>
      <c r="X30" s="6">
        <f t="shared" si="16"/>
        <v>81.92</v>
      </c>
    </row>
    <row r="31" spans="1:24">
      <c r="A31" s="1">
        <v>30</v>
      </c>
      <c r="B31" s="2">
        <v>163</v>
      </c>
      <c r="C31" s="3">
        <v>80</v>
      </c>
      <c r="D31" s="4">
        <v>100</v>
      </c>
      <c r="E31" s="5">
        <f t="shared" si="0"/>
        <v>8000000</v>
      </c>
      <c r="F31" s="1">
        <f t="shared" si="1"/>
        <v>31249</v>
      </c>
      <c r="G31" s="1">
        <f t="shared" si="2"/>
        <v>15624</v>
      </c>
      <c r="H31" s="1">
        <f t="shared" si="3"/>
        <v>7811.5</v>
      </c>
      <c r="I31" s="1">
        <f t="shared" si="4"/>
        <v>3905.25</v>
      </c>
      <c r="J31" s="6">
        <f t="shared" si="5"/>
        <v>2499</v>
      </c>
      <c r="K31" s="1">
        <f t="shared" si="6"/>
        <v>1952.125</v>
      </c>
      <c r="M31" s="7">
        <f t="shared" si="7"/>
        <v>975.5625</v>
      </c>
      <c r="N31" s="6">
        <f t="shared" si="8"/>
        <v>487.28125</v>
      </c>
      <c r="O31" s="6"/>
      <c r="P31" s="6">
        <f t="shared" si="9"/>
        <v>1.28</v>
      </c>
      <c r="Q31" s="6">
        <f t="shared" si="10"/>
        <v>2.56</v>
      </c>
      <c r="R31" s="6">
        <f t="shared" si="11"/>
        <v>5.12</v>
      </c>
      <c r="S31" s="6">
        <f t="shared" si="12"/>
        <v>10.24</v>
      </c>
      <c r="T31" s="6">
        <f t="shared" si="13"/>
        <v>16</v>
      </c>
      <c r="U31" s="6">
        <f t="shared" si="14"/>
        <v>20.48</v>
      </c>
      <c r="V31" s="1">
        <f t="shared" si="17"/>
        <v>26</v>
      </c>
      <c r="W31" s="7">
        <f t="shared" si="15"/>
        <v>40.96</v>
      </c>
      <c r="X31" s="6">
        <f t="shared" si="16"/>
        <v>81.92</v>
      </c>
    </row>
    <row r="32" spans="1:24">
      <c r="A32" s="1">
        <v>31</v>
      </c>
      <c r="B32" s="2">
        <v>172</v>
      </c>
      <c r="C32" s="3">
        <v>80</v>
      </c>
      <c r="D32" s="4">
        <v>150</v>
      </c>
      <c r="E32" s="5">
        <f t="shared" si="0"/>
        <v>12000000</v>
      </c>
      <c r="F32" s="1">
        <f t="shared" si="1"/>
        <v>46874</v>
      </c>
      <c r="G32" s="1">
        <f t="shared" si="2"/>
        <v>23436.5</v>
      </c>
      <c r="H32" s="1">
        <f t="shared" si="3"/>
        <v>11717.75</v>
      </c>
      <c r="I32" s="1">
        <f t="shared" si="4"/>
        <v>5858.375</v>
      </c>
      <c r="J32" s="6">
        <f t="shared" si="5"/>
        <v>3749</v>
      </c>
      <c r="K32" s="1">
        <f t="shared" si="6"/>
        <v>2928.6875</v>
      </c>
      <c r="M32" s="7">
        <f t="shared" si="7"/>
        <v>1463.84375</v>
      </c>
      <c r="N32" s="6">
        <f t="shared" si="8"/>
        <v>731.421875</v>
      </c>
      <c r="O32" s="6"/>
      <c r="P32" s="6">
        <f t="shared" si="9"/>
        <v>1.28</v>
      </c>
      <c r="Q32" s="6">
        <f t="shared" si="10"/>
        <v>2.56</v>
      </c>
      <c r="R32" s="6">
        <f t="shared" si="11"/>
        <v>5.12</v>
      </c>
      <c r="S32" s="6">
        <f t="shared" si="12"/>
        <v>10.24</v>
      </c>
      <c r="T32" s="6">
        <f t="shared" si="13"/>
        <v>16</v>
      </c>
      <c r="U32" s="6">
        <f t="shared" si="14"/>
        <v>20.48</v>
      </c>
      <c r="V32" s="1">
        <f t="shared" si="17"/>
        <v>26</v>
      </c>
      <c r="W32" s="7">
        <f t="shared" si="15"/>
        <v>40.96</v>
      </c>
      <c r="X32" s="6">
        <f t="shared" si="16"/>
        <v>81.92</v>
      </c>
    </row>
  </sheetData>
  <autoFilter ref="B1:AF1" xr:uid="{F267C42D-6B77-4A64-9B72-F9EEE9B78522}">
    <sortState xmlns:xlrd2="http://schemas.microsoft.com/office/spreadsheetml/2017/richdata2" ref="B2:AF33">
      <sortCondition ref="C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 (3)</vt:lpstr>
      <vt:lpstr>Sheet1 (2)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yellow</dc:creator>
  <cp:lastModifiedBy>wh huang</cp:lastModifiedBy>
  <dcterms:created xsi:type="dcterms:W3CDTF">2026-01-06T01:47:52Z</dcterms:created>
  <dcterms:modified xsi:type="dcterms:W3CDTF">2026-01-16T02:25:44Z</dcterms:modified>
</cp:coreProperties>
</file>